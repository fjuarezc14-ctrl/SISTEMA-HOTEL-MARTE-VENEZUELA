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6"/>
  <workbookPr/>
  <mc:AlternateContent xmlns:mc="http://schemas.openxmlformats.org/markup-compatibility/2006">
    <mc:Choice Requires="x15">
      <x15ac:absPath xmlns:x15ac="http://schemas.microsoft.com/office/spreadsheetml/2010/11/ac" url="C:\Users\mejia\Downloads\"/>
    </mc:Choice>
  </mc:AlternateContent>
  <xr:revisionPtr revIDLastSave="0" documentId="8_{8906F26A-4DC8-4840-A119-B5B03DB042B7}" xr6:coauthVersionLast="47" xr6:coauthVersionMax="47" xr10:uidLastSave="{00000000-0000-0000-0000-000000000000}"/>
  <bookViews>
    <workbookView xWindow="-108" yWindow="-108" windowWidth="23256" windowHeight="12456" tabRatio="931" firstSheet="7" xr2:uid="{00000000-000D-0000-FFFF-FFFF00000000}"/>
  </bookViews>
  <sheets>
    <sheet name="LUNES" sheetId="1" r:id="rId1"/>
    <sheet name="CIERRE LUNES" sheetId="2" r:id="rId2"/>
    <sheet name="MARTES" sheetId="3" r:id="rId3"/>
    <sheet name="CIERRE MARTES" sheetId="4" r:id="rId4"/>
    <sheet name="MIERCOLES" sheetId="5" r:id="rId5"/>
    <sheet name="CIERRE MIERCOLES" sheetId="6" r:id="rId6"/>
    <sheet name="JUEVES" sheetId="7" r:id="rId7"/>
    <sheet name="CIERRE JUEVES" sheetId="8" r:id="rId8"/>
    <sheet name="CIERRE DE LUN A JUE" sheetId="17" r:id="rId9"/>
    <sheet name="VIERNES" sheetId="9" r:id="rId10"/>
    <sheet name="CIERRE VIERNES" sheetId="10" r:id="rId11"/>
    <sheet name="SABADO" sheetId="11" r:id="rId12"/>
    <sheet name="CIERRE SABADO" sheetId="12" r:id="rId13"/>
    <sheet name="DOMINGO 12" sheetId="13" r:id="rId14"/>
    <sheet name="CIERRE DOMINGO" sheetId="14" r:id="rId15"/>
    <sheet name="VENTA NETA" sheetId="16" state="hidden" r:id="rId16"/>
    <sheet name="CIERRE VIE A DOM" sheetId="19" r:id="rId17"/>
    <sheet name="INFO VENTAS MINI BAR" sheetId="21" r:id="rId18"/>
  </sheets>
  <calcPr calcId="191029" iterateDelta="1E-4"/>
</workbook>
</file>

<file path=xl/calcChain.xml><?xml version="1.0" encoding="utf-8"?>
<calcChain xmlns="http://schemas.openxmlformats.org/spreadsheetml/2006/main">
  <c r="AS26" i="1" l="1"/>
  <c r="AN26" i="1"/>
  <c r="AS25" i="1"/>
  <c r="AN25" i="1"/>
  <c r="AS24" i="1"/>
  <c r="AN24" i="1"/>
  <c r="AS23" i="1"/>
  <c r="AN23" i="1"/>
  <c r="AS22" i="1"/>
  <c r="AN22" i="1"/>
  <c r="B6" i="21" s="1"/>
  <c r="AS21" i="1"/>
  <c r="AN21" i="1"/>
  <c r="AS20" i="1"/>
  <c r="AN20" i="1"/>
  <c r="AS19" i="1"/>
  <c r="AN19" i="1"/>
  <c r="AS18" i="1"/>
  <c r="AN18" i="1"/>
  <c r="AS17" i="1"/>
  <c r="AN17" i="1"/>
  <c r="AS16" i="1"/>
  <c r="AN16" i="1"/>
  <c r="AS15" i="1"/>
  <c r="AN15" i="1"/>
  <c r="AS14" i="1"/>
  <c r="AN14" i="1"/>
  <c r="AS13" i="1"/>
  <c r="AN13" i="1"/>
  <c r="AS12" i="1"/>
  <c r="AN12" i="1"/>
  <c r="AS11" i="1"/>
  <c r="AN11" i="1"/>
  <c r="AS10" i="1"/>
  <c r="AN10" i="1"/>
  <c r="AS9" i="1"/>
  <c r="AN9" i="1"/>
  <c r="AS8" i="1"/>
  <c r="AN8" i="1"/>
  <c r="AS7" i="1"/>
  <c r="AN7" i="1"/>
  <c r="AS6" i="1"/>
  <c r="AN6" i="1"/>
  <c r="AS5" i="1"/>
  <c r="AN5" i="1"/>
  <c r="AS4" i="1"/>
  <c r="AN4" i="1"/>
  <c r="AS3" i="1"/>
  <c r="AN3" i="1"/>
  <c r="AS26" i="3"/>
  <c r="AN26" i="3"/>
  <c r="AS25" i="3"/>
  <c r="AN25" i="3"/>
  <c r="AS24" i="3"/>
  <c r="AN24" i="3"/>
  <c r="AS23" i="3"/>
  <c r="AN23" i="3"/>
  <c r="AS22" i="3"/>
  <c r="AN22" i="3"/>
  <c r="AS21" i="3"/>
  <c r="AN21" i="3"/>
  <c r="AS20" i="3"/>
  <c r="AN20" i="3"/>
  <c r="AS19" i="3"/>
  <c r="AN19" i="3"/>
  <c r="AS18" i="3"/>
  <c r="AN18" i="3"/>
  <c r="AS17" i="3"/>
  <c r="AN17" i="3"/>
  <c r="AS16" i="3"/>
  <c r="AN16" i="3"/>
  <c r="AS15" i="3"/>
  <c r="AN15" i="3"/>
  <c r="AS14" i="3"/>
  <c r="AN14" i="3"/>
  <c r="AS13" i="3"/>
  <c r="AN13" i="3"/>
  <c r="AS12" i="3"/>
  <c r="AN12" i="3"/>
  <c r="AS11" i="3"/>
  <c r="AN11" i="3"/>
  <c r="AS10" i="3"/>
  <c r="AN10" i="3"/>
  <c r="AS9" i="3"/>
  <c r="AN9" i="3"/>
  <c r="AS8" i="3"/>
  <c r="AN8" i="3"/>
  <c r="AS7" i="3"/>
  <c r="AN7" i="3"/>
  <c r="AS6" i="3"/>
  <c r="AN6" i="3"/>
  <c r="AS5" i="3"/>
  <c r="AN5" i="3"/>
  <c r="AS4" i="3"/>
  <c r="AN4" i="3"/>
  <c r="AS3" i="3"/>
  <c r="AS27" i="3" s="1"/>
  <c r="AN3" i="3"/>
  <c r="AS26" i="5"/>
  <c r="AN26" i="5"/>
  <c r="AS25" i="5"/>
  <c r="AN25" i="5"/>
  <c r="AS24" i="5"/>
  <c r="AN24" i="5"/>
  <c r="AS23" i="5"/>
  <c r="AN23" i="5"/>
  <c r="AS22" i="5"/>
  <c r="AN22" i="5"/>
  <c r="AS21" i="5"/>
  <c r="AN21" i="5"/>
  <c r="AS20" i="5"/>
  <c r="AN20" i="5"/>
  <c r="AS19" i="5"/>
  <c r="AN19" i="5"/>
  <c r="AS18" i="5"/>
  <c r="AN18" i="5"/>
  <c r="AS17" i="5"/>
  <c r="AN17" i="5"/>
  <c r="AS16" i="5"/>
  <c r="AN16" i="5"/>
  <c r="AS15" i="5"/>
  <c r="AN15" i="5"/>
  <c r="AS14" i="5"/>
  <c r="AN14" i="5"/>
  <c r="AS13" i="5"/>
  <c r="AN13" i="5"/>
  <c r="AS12" i="5"/>
  <c r="AN12" i="5"/>
  <c r="AS11" i="5"/>
  <c r="AN11" i="5"/>
  <c r="AS10" i="5"/>
  <c r="AN10" i="5"/>
  <c r="AS9" i="5"/>
  <c r="AN9" i="5"/>
  <c r="AS8" i="5"/>
  <c r="AN8" i="5"/>
  <c r="AS7" i="5"/>
  <c r="AN7" i="5"/>
  <c r="AS6" i="5"/>
  <c r="AN6" i="5"/>
  <c r="AS5" i="5"/>
  <c r="AN5" i="5"/>
  <c r="AS4" i="5"/>
  <c r="AN4" i="5"/>
  <c r="AS3" i="5"/>
  <c r="AS27" i="5" s="1"/>
  <c r="AN3" i="5"/>
  <c r="AS26" i="7"/>
  <c r="AN26" i="7"/>
  <c r="AS25" i="7"/>
  <c r="AN25" i="7"/>
  <c r="AS24" i="7"/>
  <c r="AN24" i="7"/>
  <c r="AS23" i="7"/>
  <c r="AN23" i="7"/>
  <c r="AS22" i="7"/>
  <c r="AN22" i="7"/>
  <c r="B12" i="21" s="1"/>
  <c r="AS21" i="7"/>
  <c r="AN21" i="7"/>
  <c r="AS20" i="7"/>
  <c r="AN20" i="7"/>
  <c r="AS19" i="7"/>
  <c r="AN19" i="7"/>
  <c r="AS18" i="7"/>
  <c r="AN18" i="7"/>
  <c r="AS17" i="7"/>
  <c r="AN17" i="7"/>
  <c r="AS16" i="7"/>
  <c r="AN16" i="7"/>
  <c r="AS15" i="7"/>
  <c r="AN15" i="7"/>
  <c r="AS14" i="7"/>
  <c r="AN14" i="7"/>
  <c r="AS13" i="7"/>
  <c r="AN13" i="7"/>
  <c r="AS12" i="7"/>
  <c r="AN12" i="7"/>
  <c r="AS11" i="7"/>
  <c r="AN11" i="7"/>
  <c r="AS10" i="7"/>
  <c r="AN10" i="7"/>
  <c r="AS9" i="7"/>
  <c r="AN9" i="7"/>
  <c r="AS8" i="7"/>
  <c r="AN8" i="7"/>
  <c r="AS7" i="7"/>
  <c r="AN7" i="7"/>
  <c r="AS6" i="7"/>
  <c r="AN6" i="7"/>
  <c r="AS5" i="7"/>
  <c r="AN5" i="7"/>
  <c r="AS4" i="7"/>
  <c r="AN4" i="7"/>
  <c r="AS3" i="7"/>
  <c r="AS27" i="7" s="1"/>
  <c r="AN3" i="7"/>
  <c r="AN27" i="7" s="1"/>
  <c r="AF40" i="7" s="1"/>
  <c r="AS26" i="9"/>
  <c r="AN26" i="9"/>
  <c r="AS25" i="9"/>
  <c r="AN25" i="9"/>
  <c r="AS24" i="9"/>
  <c r="AN24" i="9"/>
  <c r="AS23" i="9"/>
  <c r="AN23" i="9"/>
  <c r="AS22" i="9"/>
  <c r="AN22" i="9"/>
  <c r="B14" i="21" s="1"/>
  <c r="AS21" i="9"/>
  <c r="AN21" i="9"/>
  <c r="AS20" i="9"/>
  <c r="AN20" i="9"/>
  <c r="AS19" i="9"/>
  <c r="AN19" i="9"/>
  <c r="AS18" i="9"/>
  <c r="AN18" i="9"/>
  <c r="AS17" i="9"/>
  <c r="AN17" i="9"/>
  <c r="AS16" i="9"/>
  <c r="AN16" i="9"/>
  <c r="AS15" i="9"/>
  <c r="AN15" i="9"/>
  <c r="AS14" i="9"/>
  <c r="AN14" i="9"/>
  <c r="AS13" i="9"/>
  <c r="AN13" i="9"/>
  <c r="AS12" i="9"/>
  <c r="AN12" i="9"/>
  <c r="AS11" i="9"/>
  <c r="AN11" i="9"/>
  <c r="AS10" i="9"/>
  <c r="AN10" i="9"/>
  <c r="AS9" i="9"/>
  <c r="AN9" i="9"/>
  <c r="AS8" i="9"/>
  <c r="AN8" i="9"/>
  <c r="AS7" i="9"/>
  <c r="AN7" i="9"/>
  <c r="AS6" i="9"/>
  <c r="AN6" i="9"/>
  <c r="AS5" i="9"/>
  <c r="AN5" i="9"/>
  <c r="AS4" i="9"/>
  <c r="AN4" i="9"/>
  <c r="AS3" i="9"/>
  <c r="AN3" i="9"/>
  <c r="AS26" i="11"/>
  <c r="AN26" i="11"/>
  <c r="AS25" i="11"/>
  <c r="AN25" i="11"/>
  <c r="AS24" i="11"/>
  <c r="AN24" i="11"/>
  <c r="AS23" i="11"/>
  <c r="AN23" i="11"/>
  <c r="AS22" i="11"/>
  <c r="AN22" i="11"/>
  <c r="AS21" i="11"/>
  <c r="AN21" i="11"/>
  <c r="AS20" i="11"/>
  <c r="AN20" i="11"/>
  <c r="AS19" i="11"/>
  <c r="AN19" i="11"/>
  <c r="AS18" i="11"/>
  <c r="AN18" i="11"/>
  <c r="AS17" i="11"/>
  <c r="AN17" i="11"/>
  <c r="AS16" i="11"/>
  <c r="AN16" i="11"/>
  <c r="AS15" i="11"/>
  <c r="AN15" i="11"/>
  <c r="AS14" i="11"/>
  <c r="AN14" i="11"/>
  <c r="AS13" i="11"/>
  <c r="AN13" i="11"/>
  <c r="AS12" i="11"/>
  <c r="AN12" i="11"/>
  <c r="AS11" i="11"/>
  <c r="AN11" i="11"/>
  <c r="AS10" i="11"/>
  <c r="AN10" i="11"/>
  <c r="AS9" i="11"/>
  <c r="AN9" i="11"/>
  <c r="AS8" i="11"/>
  <c r="AN8" i="11"/>
  <c r="AS7" i="11"/>
  <c r="AN7" i="11"/>
  <c r="AS6" i="11"/>
  <c r="AN6" i="11"/>
  <c r="AS5" i="11"/>
  <c r="AN5" i="11"/>
  <c r="AS4" i="11"/>
  <c r="AN4" i="11"/>
  <c r="AS3" i="11"/>
  <c r="AN3" i="11"/>
  <c r="H7" i="19"/>
  <c r="J7" i="17"/>
  <c r="I7" i="17"/>
  <c r="AS26" i="13"/>
  <c r="AS25" i="13"/>
  <c r="AS24" i="13"/>
  <c r="AS23" i="13"/>
  <c r="AS22" i="13"/>
  <c r="AS21" i="13"/>
  <c r="AS20" i="13"/>
  <c r="AS19" i="13"/>
  <c r="AS18" i="13"/>
  <c r="AS17" i="13"/>
  <c r="AS16" i="13"/>
  <c r="AS15" i="13"/>
  <c r="AS14" i="13"/>
  <c r="AS13" i="13"/>
  <c r="AS12" i="13"/>
  <c r="AS11" i="13"/>
  <c r="AS10" i="13"/>
  <c r="AS9" i="13"/>
  <c r="AS8" i="13"/>
  <c r="AS7" i="13"/>
  <c r="AS6" i="13"/>
  <c r="AS5" i="13"/>
  <c r="AS4" i="13"/>
  <c r="AS3" i="13"/>
  <c r="V46" i="9"/>
  <c r="D5" i="14" a="1"/>
  <c r="D5" i="14" s="1"/>
  <c r="I7" i="19" s="1"/>
  <c r="D5" i="12"/>
  <c r="D5" i="10"/>
  <c r="C10" i="10" s="1"/>
  <c r="D5" i="8"/>
  <c r="D13" i="8" s="1"/>
  <c r="AD24" i="7"/>
  <c r="D5" i="6"/>
  <c r="D5" i="4"/>
  <c r="C55" i="19"/>
  <c r="C54" i="19"/>
  <c r="D50" i="19"/>
  <c r="C50" i="19"/>
  <c r="M26" i="19"/>
  <c r="I26" i="19"/>
  <c r="M25" i="19"/>
  <c r="I25" i="19"/>
  <c r="M24" i="19"/>
  <c r="I24" i="19"/>
  <c r="M23" i="19"/>
  <c r="I23" i="19"/>
  <c r="M22" i="19"/>
  <c r="I22" i="19"/>
  <c r="M21" i="19"/>
  <c r="I21" i="19"/>
  <c r="M20" i="19"/>
  <c r="I20" i="19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H26" i="16"/>
  <c r="C26" i="16"/>
  <c r="C25" i="16"/>
  <c r="H24" i="16"/>
  <c r="C24" i="16"/>
  <c r="C23" i="16"/>
  <c r="C22" i="16"/>
  <c r="C21" i="16"/>
  <c r="I11" i="16"/>
  <c r="G11" i="16"/>
  <c r="D11" i="16"/>
  <c r="C11" i="16"/>
  <c r="H10" i="16"/>
  <c r="G10" i="16"/>
  <c r="F10" i="16"/>
  <c r="E10" i="16"/>
  <c r="D10" i="16"/>
  <c r="C10" i="16"/>
  <c r="H9" i="16"/>
  <c r="G9" i="16"/>
  <c r="F9" i="16"/>
  <c r="E9" i="16"/>
  <c r="D9" i="16"/>
  <c r="C9" i="16"/>
  <c r="H8" i="16"/>
  <c r="G8" i="16"/>
  <c r="F8" i="16"/>
  <c r="E8" i="16"/>
  <c r="D8" i="16"/>
  <c r="C8" i="16"/>
  <c r="H7" i="16"/>
  <c r="G7" i="16"/>
  <c r="F7" i="16"/>
  <c r="E7" i="16"/>
  <c r="D7" i="16"/>
  <c r="C7" i="16"/>
  <c r="G6" i="16"/>
  <c r="D6" i="16"/>
  <c r="C6" i="16"/>
  <c r="H5" i="16"/>
  <c r="G5" i="16"/>
  <c r="G12" i="16" s="1"/>
  <c r="G13" i="16" s="1"/>
  <c r="C37" i="14"/>
  <c r="C36" i="14"/>
  <c r="D32" i="14"/>
  <c r="C32" i="14"/>
  <c r="C21" i="14"/>
  <c r="C37" i="19" s="1"/>
  <c r="B7" i="14"/>
  <c r="G132" i="13"/>
  <c r="K131" i="13"/>
  <c r="G131" i="13"/>
  <c r="K130" i="13"/>
  <c r="G130" i="13"/>
  <c r="K129" i="13"/>
  <c r="G129" i="13"/>
  <c r="K128" i="13"/>
  <c r="G128" i="13"/>
  <c r="K127" i="13"/>
  <c r="G127" i="13"/>
  <c r="K126" i="13"/>
  <c r="G126" i="13"/>
  <c r="K125" i="13"/>
  <c r="G125" i="13"/>
  <c r="AC96" i="13"/>
  <c r="O96" i="13"/>
  <c r="AC94" i="13"/>
  <c r="AC97" i="13" s="1"/>
  <c r="AH98" i="13" s="1"/>
  <c r="Q94" i="13"/>
  <c r="O94" i="13"/>
  <c r="M94" i="13"/>
  <c r="J94" i="13"/>
  <c r="H94" i="13"/>
  <c r="F94" i="13"/>
  <c r="Q93" i="13"/>
  <c r="O93" i="13"/>
  <c r="M93" i="13"/>
  <c r="J93" i="13"/>
  <c r="H93" i="13"/>
  <c r="F93" i="13"/>
  <c r="O92" i="13"/>
  <c r="H92" i="13"/>
  <c r="AC91" i="13"/>
  <c r="O91" i="13"/>
  <c r="H91" i="13"/>
  <c r="K50" i="13"/>
  <c r="F50" i="13"/>
  <c r="K49" i="13"/>
  <c r="F49" i="13"/>
  <c r="K48" i="13"/>
  <c r="F48" i="13"/>
  <c r="K47" i="13"/>
  <c r="F47" i="13"/>
  <c r="V46" i="13"/>
  <c r="K46" i="13"/>
  <c r="F46" i="13"/>
  <c r="K45" i="13"/>
  <c r="F45" i="13"/>
  <c r="U41" i="13"/>
  <c r="S41" i="13"/>
  <c r="Q41" i="13"/>
  <c r="O41" i="13"/>
  <c r="U40" i="13"/>
  <c r="S40" i="13"/>
  <c r="Q40" i="13"/>
  <c r="O40" i="13"/>
  <c r="AN39" i="13"/>
  <c r="AF38" i="13"/>
  <c r="AN36" i="13"/>
  <c r="AN35" i="13"/>
  <c r="AN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AD24" i="13" s="1"/>
  <c r="D34" i="13"/>
  <c r="C34" i="13"/>
  <c r="B34" i="13"/>
  <c r="AN33" i="13"/>
  <c r="AN32" i="13"/>
  <c r="AN31" i="13"/>
  <c r="AN30" i="13"/>
  <c r="AN37" i="13" s="1"/>
  <c r="AF39" i="13" s="1"/>
  <c r="AN26" i="13"/>
  <c r="AI26" i="13"/>
  <c r="AN25" i="13"/>
  <c r="AI25" i="13"/>
  <c r="AN24" i="13"/>
  <c r="AI24" i="13"/>
  <c r="AN23" i="13"/>
  <c r="AI23" i="13"/>
  <c r="AN22" i="13"/>
  <c r="B18" i="21" s="1"/>
  <c r="AN21" i="13"/>
  <c r="AN20" i="13"/>
  <c r="AN19" i="13"/>
  <c r="AN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N17" i="13"/>
  <c r="AN16" i="13"/>
  <c r="AN15" i="13"/>
  <c r="AN14" i="13"/>
  <c r="AN13" i="13"/>
  <c r="AN12" i="13"/>
  <c r="AN11" i="13"/>
  <c r="AN10" i="13"/>
  <c r="AI10" i="13"/>
  <c r="AN9" i="13"/>
  <c r="AI9" i="13"/>
  <c r="AN8" i="13"/>
  <c r="AI8" i="13"/>
  <c r="Q39" i="13" s="1"/>
  <c r="AN7" i="13"/>
  <c r="AI7" i="13"/>
  <c r="Q38" i="13" s="1"/>
  <c r="AN6" i="13"/>
  <c r="AN5" i="13"/>
  <c r="AN4" i="13"/>
  <c r="AN3" i="13"/>
  <c r="C37" i="12"/>
  <c r="C36" i="12"/>
  <c r="D32" i="12"/>
  <c r="C32" i="12"/>
  <c r="C21" i="12"/>
  <c r="D13" i="12"/>
  <c r="C12" i="12"/>
  <c r="D12" i="12" s="1"/>
  <c r="B7" i="12"/>
  <c r="G132" i="11"/>
  <c r="K131" i="11"/>
  <c r="G131" i="11"/>
  <c r="K130" i="11"/>
  <c r="G130" i="11"/>
  <c r="K129" i="11"/>
  <c r="G129" i="11"/>
  <c r="K128" i="11"/>
  <c r="G128" i="11"/>
  <c r="K127" i="11"/>
  <c r="G127" i="11"/>
  <c r="K126" i="11"/>
  <c r="G126" i="11"/>
  <c r="K125" i="11"/>
  <c r="G125" i="11"/>
  <c r="AC96" i="11"/>
  <c r="O96" i="11"/>
  <c r="AC94" i="11"/>
  <c r="AC97" i="11" s="1"/>
  <c r="AH98" i="11" s="1"/>
  <c r="Q94" i="11"/>
  <c r="O94" i="11"/>
  <c r="M94" i="11"/>
  <c r="H94" i="11"/>
  <c r="F94" i="11"/>
  <c r="J94" i="11" s="1"/>
  <c r="Q93" i="11"/>
  <c r="O93" i="11"/>
  <c r="M93" i="11"/>
  <c r="H93" i="11"/>
  <c r="O92" i="11"/>
  <c r="H92" i="11"/>
  <c r="AC91" i="11"/>
  <c r="O91" i="11"/>
  <c r="H91" i="11"/>
  <c r="K50" i="11"/>
  <c r="F50" i="11"/>
  <c r="K49" i="11"/>
  <c r="F49" i="11"/>
  <c r="K48" i="11"/>
  <c r="F48" i="11"/>
  <c r="K47" i="11"/>
  <c r="F47" i="11"/>
  <c r="V46" i="11"/>
  <c r="K46" i="11"/>
  <c r="F46" i="11"/>
  <c r="K45" i="11"/>
  <c r="F45" i="11"/>
  <c r="U41" i="11"/>
  <c r="S41" i="11"/>
  <c r="Q41" i="11"/>
  <c r="O41" i="11"/>
  <c r="S40" i="11"/>
  <c r="Q40" i="11"/>
  <c r="AN39" i="11"/>
  <c r="AF39" i="11"/>
  <c r="AF38" i="11"/>
  <c r="AN37" i="11"/>
  <c r="AN36" i="11"/>
  <c r="AN35" i="11"/>
  <c r="AN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N33" i="11"/>
  <c r="AN32" i="11"/>
  <c r="AN31" i="11"/>
  <c r="AN30" i="11"/>
  <c r="AI26" i="11"/>
  <c r="AI25" i="11"/>
  <c r="AI24" i="11"/>
  <c r="AI23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I10" i="11"/>
  <c r="AI9" i="11"/>
  <c r="AI8" i="11"/>
  <c r="Q39" i="11" s="1"/>
  <c r="AI7" i="11"/>
  <c r="Q38" i="11" s="1"/>
  <c r="C37" i="10"/>
  <c r="C36" i="10"/>
  <c r="D32" i="10"/>
  <c r="C32" i="10"/>
  <c r="C21" i="10"/>
  <c r="C35" i="19" s="1"/>
  <c r="B7" i="10"/>
  <c r="G132" i="9"/>
  <c r="K131" i="9"/>
  <c r="G131" i="9"/>
  <c r="K130" i="9"/>
  <c r="G130" i="9"/>
  <c r="K129" i="9"/>
  <c r="G129" i="9"/>
  <c r="K128" i="9"/>
  <c r="G128" i="9"/>
  <c r="K127" i="9"/>
  <c r="G127" i="9"/>
  <c r="K126" i="9"/>
  <c r="G126" i="9"/>
  <c r="K125" i="9"/>
  <c r="G125" i="9"/>
  <c r="AC96" i="9"/>
  <c r="O96" i="9"/>
  <c r="AC94" i="9"/>
  <c r="AC97" i="9" s="1"/>
  <c r="AH98" i="9" s="1"/>
  <c r="Q94" i="9"/>
  <c r="O94" i="9"/>
  <c r="M94" i="9"/>
  <c r="J94" i="9"/>
  <c r="H94" i="9"/>
  <c r="F94" i="9"/>
  <c r="Q93" i="9"/>
  <c r="O93" i="9"/>
  <c r="M93" i="9"/>
  <c r="J93" i="9"/>
  <c r="H93" i="9"/>
  <c r="F93" i="9"/>
  <c r="O92" i="9"/>
  <c r="H92" i="9"/>
  <c r="AC91" i="9"/>
  <c r="O91" i="9"/>
  <c r="H91" i="9"/>
  <c r="H96" i="9" s="1"/>
  <c r="K50" i="9"/>
  <c r="F50" i="9"/>
  <c r="K49" i="9"/>
  <c r="F49" i="9"/>
  <c r="K48" i="9"/>
  <c r="F48" i="9"/>
  <c r="K47" i="9"/>
  <c r="F47" i="9"/>
  <c r="K46" i="9"/>
  <c r="F46" i="9"/>
  <c r="K45" i="9"/>
  <c r="F45" i="9"/>
  <c r="U41" i="9"/>
  <c r="S41" i="9"/>
  <c r="Q41" i="9"/>
  <c r="O41" i="9"/>
  <c r="U40" i="9"/>
  <c r="S40" i="9"/>
  <c r="Q40" i="9"/>
  <c r="O40" i="9"/>
  <c r="AN39" i="9"/>
  <c r="AF39" i="9"/>
  <c r="AF38" i="9"/>
  <c r="AN37" i="9"/>
  <c r="AN36" i="9"/>
  <c r="AN35" i="9"/>
  <c r="AN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AD24" i="9" s="1"/>
  <c r="D34" i="9"/>
  <c r="C34" i="9"/>
  <c r="B34" i="9"/>
  <c r="AN33" i="9"/>
  <c r="AN32" i="9"/>
  <c r="AN31" i="9"/>
  <c r="AN30" i="9"/>
  <c r="AI26" i="9"/>
  <c r="AI25" i="9"/>
  <c r="AI24" i="9"/>
  <c r="AI23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AD7" i="9" s="1"/>
  <c r="L18" i="9"/>
  <c r="K18" i="9"/>
  <c r="J18" i="9"/>
  <c r="I18" i="9"/>
  <c r="H18" i="9"/>
  <c r="G18" i="9"/>
  <c r="F18" i="9"/>
  <c r="E18" i="9"/>
  <c r="D18" i="9"/>
  <c r="C18" i="9"/>
  <c r="B18" i="9"/>
  <c r="AI10" i="9"/>
  <c r="AI9" i="9"/>
  <c r="AI8" i="9"/>
  <c r="Q39" i="9" s="1"/>
  <c r="AI7" i="9"/>
  <c r="Q38" i="9" s="1"/>
  <c r="C54" i="17"/>
  <c r="D50" i="17"/>
  <c r="C55" i="17" s="1"/>
  <c r="C50" i="17"/>
  <c r="D32" i="17"/>
  <c r="I26" i="17"/>
  <c r="M25" i="17"/>
  <c r="I25" i="17"/>
  <c r="M24" i="17"/>
  <c r="I24" i="17"/>
  <c r="M23" i="17"/>
  <c r="I23" i="17"/>
  <c r="C23" i="17"/>
  <c r="D23" i="17" s="1"/>
  <c r="M22" i="17"/>
  <c r="I22" i="17"/>
  <c r="M21" i="17"/>
  <c r="I21" i="17"/>
  <c r="M20" i="17"/>
  <c r="I20" i="17"/>
  <c r="C37" i="8"/>
  <c r="D32" i="8"/>
  <c r="C32" i="8"/>
  <c r="C36" i="8" s="1"/>
  <c r="C21" i="8"/>
  <c r="D21" i="8" s="1"/>
  <c r="C10" i="8"/>
  <c r="C16" i="17" s="1"/>
  <c r="B7" i="8"/>
  <c r="G132" i="7"/>
  <c r="K131" i="7"/>
  <c r="G131" i="7"/>
  <c r="K130" i="7"/>
  <c r="G130" i="7"/>
  <c r="K129" i="7"/>
  <c r="G129" i="7"/>
  <c r="K128" i="7"/>
  <c r="G128" i="7"/>
  <c r="K127" i="7"/>
  <c r="G127" i="7"/>
  <c r="K126" i="7"/>
  <c r="G126" i="7"/>
  <c r="K125" i="7"/>
  <c r="G125" i="7"/>
  <c r="AC96" i="7"/>
  <c r="O96" i="7"/>
  <c r="AC94" i="7"/>
  <c r="AC97" i="7" s="1"/>
  <c r="AH98" i="7" s="1"/>
  <c r="Q94" i="7"/>
  <c r="O94" i="7"/>
  <c r="M94" i="7"/>
  <c r="J94" i="7"/>
  <c r="H94" i="7"/>
  <c r="F94" i="7"/>
  <c r="O93" i="7"/>
  <c r="J93" i="7"/>
  <c r="H93" i="7"/>
  <c r="F93" i="7"/>
  <c r="O92" i="7"/>
  <c r="M92" i="7"/>
  <c r="Q92" i="7" s="1"/>
  <c r="H92" i="7"/>
  <c r="AC91" i="7"/>
  <c r="O91" i="7"/>
  <c r="H91" i="7"/>
  <c r="H96" i="7" s="1"/>
  <c r="K50" i="7"/>
  <c r="F50" i="7"/>
  <c r="K49" i="7"/>
  <c r="F49" i="7"/>
  <c r="K48" i="7"/>
  <c r="F48" i="7"/>
  <c r="K47" i="7"/>
  <c r="F47" i="7"/>
  <c r="V46" i="7"/>
  <c r="K46" i="7"/>
  <c r="F46" i="7"/>
  <c r="K45" i="7"/>
  <c r="F45" i="7"/>
  <c r="U41" i="7"/>
  <c r="S41" i="7"/>
  <c r="Q41" i="7"/>
  <c r="O41" i="7"/>
  <c r="S40" i="7"/>
  <c r="U40" i="7" s="1"/>
  <c r="Q40" i="7"/>
  <c r="O40" i="7"/>
  <c r="AN39" i="7"/>
  <c r="AF39" i="7"/>
  <c r="S39" i="7"/>
  <c r="Q39" i="7"/>
  <c r="AF38" i="7"/>
  <c r="AN37" i="7"/>
  <c r="AN36" i="7"/>
  <c r="AN35" i="7"/>
  <c r="AN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N33" i="7"/>
  <c r="AN32" i="7"/>
  <c r="AN31" i="7"/>
  <c r="AN30" i="7"/>
  <c r="AI26" i="7"/>
  <c r="AD26" i="7"/>
  <c r="AI25" i="7"/>
  <c r="M93" i="7"/>
  <c r="Q93" i="7" s="1"/>
  <c r="AI24" i="7"/>
  <c r="AI23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I10" i="7"/>
  <c r="AI9" i="7"/>
  <c r="AI8" i="7"/>
  <c r="AI7" i="7"/>
  <c r="Q38" i="7" s="1"/>
  <c r="Q42" i="7" s="1"/>
  <c r="C37" i="6"/>
  <c r="C36" i="6"/>
  <c r="D32" i="6"/>
  <c r="C32" i="6"/>
  <c r="C21" i="6"/>
  <c r="C37" i="17" s="1"/>
  <c r="D37" i="17" s="1"/>
  <c r="D13" i="6"/>
  <c r="C12" i="6"/>
  <c r="D12" i="6" s="1"/>
  <c r="C10" i="6"/>
  <c r="C15" i="17" s="1"/>
  <c r="D15" i="17" s="1"/>
  <c r="B7" i="6"/>
  <c r="G132" i="5"/>
  <c r="K131" i="5"/>
  <c r="G131" i="5"/>
  <c r="K130" i="5"/>
  <c r="G130" i="5"/>
  <c r="K129" i="5"/>
  <c r="G129" i="5"/>
  <c r="K128" i="5"/>
  <c r="G128" i="5"/>
  <c r="K127" i="5"/>
  <c r="G127" i="5"/>
  <c r="K126" i="5"/>
  <c r="G126" i="5"/>
  <c r="K125" i="5"/>
  <c r="G125" i="5"/>
  <c r="AC96" i="5"/>
  <c r="O96" i="5"/>
  <c r="H96" i="5"/>
  <c r="AC94" i="5"/>
  <c r="AC97" i="5" s="1"/>
  <c r="AH98" i="5" s="1"/>
  <c r="Q94" i="5"/>
  <c r="O94" i="5"/>
  <c r="M94" i="5"/>
  <c r="J94" i="5"/>
  <c r="H94" i="5"/>
  <c r="F94" i="5"/>
  <c r="O93" i="5"/>
  <c r="J93" i="5"/>
  <c r="H93" i="5"/>
  <c r="F93" i="5"/>
  <c r="O92" i="5"/>
  <c r="H92" i="5"/>
  <c r="AC91" i="5"/>
  <c r="O91" i="5"/>
  <c r="H91" i="5"/>
  <c r="K50" i="5"/>
  <c r="F50" i="5"/>
  <c r="K49" i="5"/>
  <c r="F49" i="5"/>
  <c r="K48" i="5"/>
  <c r="F48" i="5"/>
  <c r="K47" i="5"/>
  <c r="F47" i="5"/>
  <c r="V46" i="5"/>
  <c r="K46" i="5"/>
  <c r="F46" i="5"/>
  <c r="K45" i="5"/>
  <c r="F45" i="5"/>
  <c r="Q42" i="5"/>
  <c r="U41" i="5"/>
  <c r="S41" i="5"/>
  <c r="Q41" i="5"/>
  <c r="O41" i="5"/>
  <c r="Q40" i="5"/>
  <c r="O40" i="5"/>
  <c r="AN39" i="5"/>
  <c r="AF39" i="5"/>
  <c r="Q39" i="5"/>
  <c r="AF38" i="5"/>
  <c r="Q38" i="5"/>
  <c r="AN37" i="5"/>
  <c r="AN36" i="5"/>
  <c r="AN35" i="5"/>
  <c r="AN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AD24" i="5" s="1"/>
  <c r="S39" i="5" s="1"/>
  <c r="F34" i="5"/>
  <c r="E34" i="5"/>
  <c r="D34" i="5"/>
  <c r="C34" i="5"/>
  <c r="B34" i="5"/>
  <c r="AN33" i="5"/>
  <c r="AN32" i="5"/>
  <c r="AN31" i="5"/>
  <c r="AN30" i="5"/>
  <c r="AI26" i="5"/>
  <c r="AD26" i="5"/>
  <c r="AI25" i="5"/>
  <c r="S40" i="5"/>
  <c r="U40" i="5" s="1"/>
  <c r="AI24" i="5"/>
  <c r="AI23" i="5"/>
  <c r="B10" i="21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I10" i="5"/>
  <c r="AI9" i="5"/>
  <c r="AI8" i="5"/>
  <c r="AI7" i="5"/>
  <c r="C37" i="4"/>
  <c r="C36" i="4"/>
  <c r="D32" i="4"/>
  <c r="C32" i="4"/>
  <c r="C21" i="4"/>
  <c r="C36" i="17" s="1"/>
  <c r="D12" i="4"/>
  <c r="C12" i="4"/>
  <c r="C22" i="17" s="1"/>
  <c r="C10" i="4"/>
  <c r="C14" i="17" s="1"/>
  <c r="B7" i="4"/>
  <c r="G132" i="3"/>
  <c r="K131" i="3"/>
  <c r="G131" i="3"/>
  <c r="K130" i="3"/>
  <c r="G130" i="3"/>
  <c r="K129" i="3"/>
  <c r="G129" i="3"/>
  <c r="K128" i="3"/>
  <c r="G128" i="3"/>
  <c r="K127" i="3"/>
  <c r="G127" i="3"/>
  <c r="K126" i="3"/>
  <c r="G126" i="3"/>
  <c r="K125" i="3"/>
  <c r="G125" i="3"/>
  <c r="AC96" i="3"/>
  <c r="O96" i="3"/>
  <c r="AC94" i="3"/>
  <c r="AC97" i="3" s="1"/>
  <c r="AH98" i="3" s="1"/>
  <c r="Q94" i="3"/>
  <c r="O94" i="3"/>
  <c r="M94" i="3"/>
  <c r="J94" i="3"/>
  <c r="H94" i="3"/>
  <c r="F94" i="3"/>
  <c r="O93" i="3"/>
  <c r="J93" i="3"/>
  <c r="H93" i="3"/>
  <c r="F93" i="3"/>
  <c r="O92" i="3"/>
  <c r="H92" i="3"/>
  <c r="AC91" i="3"/>
  <c r="O91" i="3"/>
  <c r="H91" i="3"/>
  <c r="K50" i="3"/>
  <c r="F50" i="3"/>
  <c r="K49" i="3"/>
  <c r="F49" i="3"/>
  <c r="K48" i="3"/>
  <c r="F48" i="3"/>
  <c r="K47" i="3"/>
  <c r="F47" i="3"/>
  <c r="V46" i="3"/>
  <c r="K46" i="3"/>
  <c r="F46" i="3"/>
  <c r="K45" i="3"/>
  <c r="F45" i="3"/>
  <c r="U41" i="3"/>
  <c r="S41" i="3"/>
  <c r="Q41" i="3"/>
  <c r="O41" i="3"/>
  <c r="Q40" i="3"/>
  <c r="O40" i="3"/>
  <c r="AN39" i="3"/>
  <c r="AF39" i="3"/>
  <c r="AF38" i="3"/>
  <c r="Q38" i="3"/>
  <c r="AN37" i="3"/>
  <c r="AN36" i="3"/>
  <c r="AN35" i="3"/>
  <c r="AN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D24" i="3" s="1"/>
  <c r="AN33" i="3"/>
  <c r="AN32" i="3"/>
  <c r="AN31" i="3"/>
  <c r="AN30" i="3"/>
  <c r="AI26" i="3"/>
  <c r="AD26" i="3"/>
  <c r="AI25" i="3"/>
  <c r="AI24" i="3"/>
  <c r="AI23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I10" i="3"/>
  <c r="AI9" i="3"/>
  <c r="AI8" i="3"/>
  <c r="Q39" i="3" s="1"/>
  <c r="AI7" i="3"/>
  <c r="C36" i="2"/>
  <c r="D32" i="2"/>
  <c r="C37" i="2" s="1"/>
  <c r="C32" i="2"/>
  <c r="C21" i="2"/>
  <c r="C35" i="17" s="1"/>
  <c r="B7" i="2"/>
  <c r="D5" i="2"/>
  <c r="G7" i="17" s="1"/>
  <c r="G131" i="1"/>
  <c r="K130" i="1"/>
  <c r="G130" i="1"/>
  <c r="K129" i="1"/>
  <c r="G129" i="1"/>
  <c r="K128" i="1"/>
  <c r="G128" i="1"/>
  <c r="K127" i="1"/>
  <c r="G127" i="1"/>
  <c r="K126" i="1"/>
  <c r="G126" i="1"/>
  <c r="G132" i="1" s="1"/>
  <c r="AC91" i="1" s="1"/>
  <c r="K125" i="1"/>
  <c r="K131" i="1" s="1"/>
  <c r="AC96" i="1" s="1"/>
  <c r="E5" i="16" s="1"/>
  <c r="G125" i="1"/>
  <c r="O94" i="1"/>
  <c r="M94" i="1"/>
  <c r="Q94" i="1" s="1"/>
  <c r="H94" i="1"/>
  <c r="F94" i="1"/>
  <c r="J94" i="1" s="1"/>
  <c r="O93" i="1"/>
  <c r="M93" i="1"/>
  <c r="Q93" i="1" s="1"/>
  <c r="H93" i="1"/>
  <c r="F93" i="1"/>
  <c r="J93" i="1" s="1"/>
  <c r="O92" i="1"/>
  <c r="H92" i="1"/>
  <c r="O91" i="1"/>
  <c r="O96" i="1" s="1"/>
  <c r="H91" i="1"/>
  <c r="H96" i="1" s="1"/>
  <c r="K50" i="1"/>
  <c r="F50" i="1"/>
  <c r="K49" i="1"/>
  <c r="F49" i="1"/>
  <c r="K48" i="1"/>
  <c r="F48" i="1"/>
  <c r="K47" i="1"/>
  <c r="F47" i="1"/>
  <c r="V46" i="1"/>
  <c r="K46" i="1"/>
  <c r="F46" i="1"/>
  <c r="K45" i="1"/>
  <c r="F45" i="1"/>
  <c r="S41" i="1"/>
  <c r="O41" i="1"/>
  <c r="S40" i="1"/>
  <c r="O40" i="1"/>
  <c r="AN39" i="1"/>
  <c r="AF38" i="1"/>
  <c r="AN36" i="1"/>
  <c r="AN35" i="1"/>
  <c r="AN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N33" i="1"/>
  <c r="AN32" i="1"/>
  <c r="AN31" i="1"/>
  <c r="AN30" i="1"/>
  <c r="AN37" i="1" s="1"/>
  <c r="AF39" i="1" s="1"/>
  <c r="AI26" i="1"/>
  <c r="AI25" i="1"/>
  <c r="AI24" i="1"/>
  <c r="AI23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I10" i="1"/>
  <c r="Q41" i="1" s="1"/>
  <c r="AI9" i="1"/>
  <c r="Q40" i="1" s="1"/>
  <c r="AI8" i="1"/>
  <c r="Q39" i="1" s="1"/>
  <c r="AI7" i="1"/>
  <c r="Q38" i="1" s="1"/>
  <c r="U41" i="1" l="1"/>
  <c r="F5" i="16"/>
  <c r="AC94" i="1"/>
  <c r="AC97" i="1" s="1"/>
  <c r="AH98" i="1" s="1"/>
  <c r="Q42" i="1"/>
  <c r="U40" i="1"/>
  <c r="Q42" i="13"/>
  <c r="H96" i="13"/>
  <c r="S39" i="13"/>
  <c r="M92" i="13"/>
  <c r="Q92" i="13" s="1"/>
  <c r="AD23" i="13"/>
  <c r="D37" i="19"/>
  <c r="F51" i="11"/>
  <c r="S45" i="11" s="1"/>
  <c r="V45" i="11" s="1"/>
  <c r="B16" i="21"/>
  <c r="AS27" i="11"/>
  <c r="AN27" i="11"/>
  <c r="AD24" i="11"/>
  <c r="S39" i="11" s="1"/>
  <c r="AD8" i="11"/>
  <c r="O39" i="11" s="1"/>
  <c r="D21" i="12"/>
  <c r="F51" i="9"/>
  <c r="S45" i="9" s="1"/>
  <c r="V45" i="9" s="1"/>
  <c r="AS27" i="9"/>
  <c r="AN27" i="9"/>
  <c r="Q42" i="9"/>
  <c r="AD23" i="9"/>
  <c r="AD27" i="9" s="1"/>
  <c r="Q95" i="9" s="1"/>
  <c r="G7" i="19"/>
  <c r="C12" i="10"/>
  <c r="D35" i="19"/>
  <c r="F51" i="7"/>
  <c r="C20" i="8" s="1"/>
  <c r="D20" i="8" s="1"/>
  <c r="AD23" i="7"/>
  <c r="AD8" i="7"/>
  <c r="F92" i="7" s="1"/>
  <c r="J92" i="7" s="1"/>
  <c r="D16" i="17"/>
  <c r="F51" i="5"/>
  <c r="C20" i="6" s="1"/>
  <c r="S45" i="5"/>
  <c r="V45" i="5" s="1"/>
  <c r="AN27" i="5"/>
  <c r="AF40" i="5" s="1"/>
  <c r="AD23" i="5"/>
  <c r="AD27" i="5" s="1"/>
  <c r="Q95" i="5" s="1"/>
  <c r="M93" i="5"/>
  <c r="Q93" i="5" s="1"/>
  <c r="AD8" i="5"/>
  <c r="D10" i="6"/>
  <c r="F51" i="3"/>
  <c r="S45" i="3" s="1"/>
  <c r="V45" i="3" s="1"/>
  <c r="AN27" i="3"/>
  <c r="S40" i="3"/>
  <c r="U40" i="3" s="1"/>
  <c r="M92" i="3"/>
  <c r="Q92" i="3" s="1"/>
  <c r="S39" i="3"/>
  <c r="H7" i="17"/>
  <c r="D22" i="17"/>
  <c r="F51" i="1"/>
  <c r="S45" i="1" s="1"/>
  <c r="C20" i="2" s="1"/>
  <c r="C24" i="2" s="1"/>
  <c r="C30" i="17" s="1"/>
  <c r="D30" i="17" s="1"/>
  <c r="AS27" i="1"/>
  <c r="AN27" i="1"/>
  <c r="AF40" i="1" s="1"/>
  <c r="C11" i="2" s="1"/>
  <c r="D11" i="2" s="1"/>
  <c r="AS27" i="13"/>
  <c r="D10" i="4"/>
  <c r="F92" i="5"/>
  <c r="J92" i="5" s="1"/>
  <c r="O39" i="5"/>
  <c r="U39" i="5" s="1"/>
  <c r="S39" i="9"/>
  <c r="M92" i="9"/>
  <c r="Q92" i="9" s="1"/>
  <c r="M92" i="11"/>
  <c r="Q92" i="11" s="1"/>
  <c r="AD7" i="11"/>
  <c r="F91" i="11" s="1"/>
  <c r="J91" i="11" s="1"/>
  <c r="I122" i="7"/>
  <c r="I100" i="7" s="1"/>
  <c r="B8" i="21"/>
  <c r="AD24" i="1"/>
  <c r="M92" i="1" s="1"/>
  <c r="Q92" i="1" s="1"/>
  <c r="AD8" i="1"/>
  <c r="O39" i="1" s="1"/>
  <c r="Q42" i="11"/>
  <c r="H96" i="11"/>
  <c r="AD23" i="11"/>
  <c r="AD27" i="11" s="1"/>
  <c r="Q95" i="11" s="1"/>
  <c r="B13" i="21"/>
  <c r="C11" i="8"/>
  <c r="C20" i="17" s="1"/>
  <c r="D20" i="17" s="1"/>
  <c r="B11" i="21"/>
  <c r="M91" i="7"/>
  <c r="Q91" i="7" s="1"/>
  <c r="AD27" i="7"/>
  <c r="Q95" i="7" s="1"/>
  <c r="S38" i="7"/>
  <c r="S42" i="7" s="1"/>
  <c r="AD7" i="7"/>
  <c r="F91" i="7" s="1"/>
  <c r="K51" i="7"/>
  <c r="S47" i="7" s="1"/>
  <c r="V47" i="7" s="1"/>
  <c r="K51" i="5"/>
  <c r="B9" i="21"/>
  <c r="M91" i="5"/>
  <c r="Q91" i="5" s="1"/>
  <c r="S38" i="5"/>
  <c r="S42" i="5" s="1"/>
  <c r="K51" i="3"/>
  <c r="C19" i="4" s="1"/>
  <c r="Q42" i="3"/>
  <c r="H96" i="3"/>
  <c r="AD8" i="3"/>
  <c r="F92" i="3" s="1"/>
  <c r="J92" i="3" s="1"/>
  <c r="D21" i="4"/>
  <c r="I122" i="1"/>
  <c r="I100" i="1" s="1"/>
  <c r="C20" i="16" s="1"/>
  <c r="C28" i="16" s="1"/>
  <c r="AD23" i="1"/>
  <c r="M91" i="1" s="1"/>
  <c r="D35" i="17"/>
  <c r="C10" i="14"/>
  <c r="D13" i="14"/>
  <c r="C12" i="14"/>
  <c r="D12" i="14" s="1"/>
  <c r="M91" i="13"/>
  <c r="M96" i="13" s="1"/>
  <c r="AN27" i="13"/>
  <c r="C10" i="12"/>
  <c r="D10" i="12" s="1"/>
  <c r="K51" i="11"/>
  <c r="S47" i="11" s="1"/>
  <c r="V47" i="11" s="1"/>
  <c r="I122" i="11"/>
  <c r="I100" i="11" s="1"/>
  <c r="B15" i="21"/>
  <c r="F93" i="11"/>
  <c r="J93" i="11" s="1"/>
  <c r="D10" i="10"/>
  <c r="C13" i="19"/>
  <c r="D13" i="19" s="1"/>
  <c r="D13" i="10"/>
  <c r="K51" i="9"/>
  <c r="C19" i="10" s="1"/>
  <c r="D19" i="10" s="1"/>
  <c r="AD8" i="9"/>
  <c r="F92" i="9" s="1"/>
  <c r="J92" i="9" s="1"/>
  <c r="C12" i="8"/>
  <c r="C24" i="17" s="1"/>
  <c r="D24" i="17" s="1"/>
  <c r="S45" i="7"/>
  <c r="V45" i="7" s="1"/>
  <c r="C19" i="6"/>
  <c r="C23" i="6" s="1"/>
  <c r="C35" i="6" s="1"/>
  <c r="C38" i="6" s="1"/>
  <c r="S47" i="5"/>
  <c r="V47" i="5" s="1"/>
  <c r="D21" i="6"/>
  <c r="I122" i="5"/>
  <c r="I100" i="5" s="1"/>
  <c r="AD7" i="5"/>
  <c r="F91" i="5" s="1"/>
  <c r="M92" i="5"/>
  <c r="Q92" i="5" s="1"/>
  <c r="B7" i="21"/>
  <c r="I122" i="3"/>
  <c r="I100" i="3" s="1"/>
  <c r="M93" i="3"/>
  <c r="Q93" i="3" s="1"/>
  <c r="AD23" i="3"/>
  <c r="AD27" i="3" s="1"/>
  <c r="Q95" i="3" s="1"/>
  <c r="AD7" i="3"/>
  <c r="O38" i="3" s="1"/>
  <c r="K51" i="1"/>
  <c r="S47" i="1" s="1"/>
  <c r="V47" i="1" s="1"/>
  <c r="AD7" i="1"/>
  <c r="D21" i="2"/>
  <c r="C10" i="2"/>
  <c r="D13" i="2"/>
  <c r="C12" i="2"/>
  <c r="M26" i="17"/>
  <c r="D21" i="14"/>
  <c r="F51" i="13"/>
  <c r="S45" i="13" s="1"/>
  <c r="C20" i="14" s="1"/>
  <c r="V45" i="13"/>
  <c r="K51" i="13"/>
  <c r="S47" i="13" s="1"/>
  <c r="C19" i="14" s="1"/>
  <c r="B17" i="21"/>
  <c r="I122" i="13"/>
  <c r="I100" i="13" s="1"/>
  <c r="S38" i="13"/>
  <c r="AD27" i="13"/>
  <c r="Q95" i="13" s="1"/>
  <c r="AD8" i="13"/>
  <c r="F92" i="13" s="1"/>
  <c r="J92" i="13" s="1"/>
  <c r="AD7" i="13"/>
  <c r="F91" i="13" s="1"/>
  <c r="C36" i="19"/>
  <c r="D36" i="19" s="1"/>
  <c r="C22" i="19"/>
  <c r="D22" i="19" s="1"/>
  <c r="D21" i="10"/>
  <c r="I122" i="9"/>
  <c r="I100" i="9" s="1"/>
  <c r="O38" i="9"/>
  <c r="D10" i="8"/>
  <c r="D12" i="8"/>
  <c r="C38" i="17"/>
  <c r="D38" i="17" s="1"/>
  <c r="B5" i="21"/>
  <c r="F92" i="1" l="1"/>
  <c r="J92" i="1" s="1"/>
  <c r="V45" i="1"/>
  <c r="C34" i="2"/>
  <c r="C39" i="2" s="1"/>
  <c r="D20" i="2"/>
  <c r="S42" i="13"/>
  <c r="V48" i="11"/>
  <c r="AF42" i="11" s="1"/>
  <c r="C20" i="12"/>
  <c r="D20" i="12" s="1"/>
  <c r="AF40" i="11"/>
  <c r="C11" i="12" s="1"/>
  <c r="C18" i="19" s="1"/>
  <c r="D18" i="19" s="1"/>
  <c r="U39" i="11"/>
  <c r="S38" i="11"/>
  <c r="S42" i="11" s="1"/>
  <c r="C20" i="10"/>
  <c r="C30" i="19" s="1"/>
  <c r="D30" i="19" s="1"/>
  <c r="AF40" i="9"/>
  <c r="C11" i="10" s="1"/>
  <c r="C17" i="19" s="1"/>
  <c r="D17" i="19" s="1"/>
  <c r="C21" i="19"/>
  <c r="D21" i="19" s="1"/>
  <c r="D12" i="10"/>
  <c r="C24" i="8"/>
  <c r="M96" i="7"/>
  <c r="Q96" i="7"/>
  <c r="O39" i="7"/>
  <c r="U39" i="7" s="1"/>
  <c r="V48" i="5"/>
  <c r="AF42" i="5" s="1"/>
  <c r="D20" i="6"/>
  <c r="C24" i="6"/>
  <c r="C34" i="6" s="1"/>
  <c r="C39" i="6" s="1"/>
  <c r="C20" i="4"/>
  <c r="C24" i="4" s="1"/>
  <c r="C31" i="17" s="1"/>
  <c r="D31" i="17" s="1"/>
  <c r="D36" i="17"/>
  <c r="D14" i="17"/>
  <c r="AD11" i="1"/>
  <c r="J95" i="1" s="1"/>
  <c r="AF40" i="13"/>
  <c r="C11" i="14" s="1"/>
  <c r="D11" i="14" s="1"/>
  <c r="S39" i="1"/>
  <c r="Q96" i="5"/>
  <c r="C19" i="12"/>
  <c r="C23" i="12" s="1"/>
  <c r="C35" i="12" s="1"/>
  <c r="C38" i="12" s="1"/>
  <c r="M91" i="11"/>
  <c r="AF40" i="3"/>
  <c r="C11" i="4" s="1"/>
  <c r="S38" i="1"/>
  <c r="S42" i="1" s="1"/>
  <c r="U39" i="1"/>
  <c r="AD27" i="1"/>
  <c r="Q95" i="1" s="1"/>
  <c r="Q91" i="13"/>
  <c r="Q96" i="13" s="1"/>
  <c r="C24" i="12"/>
  <c r="C34" i="12" s="1"/>
  <c r="C39" i="12" s="1"/>
  <c r="C31" i="19"/>
  <c r="F92" i="11"/>
  <c r="J92" i="11" s="1"/>
  <c r="C44" i="19"/>
  <c r="S47" i="9"/>
  <c r="V47" i="9" s="1"/>
  <c r="V48" i="9" s="1"/>
  <c r="AF42" i="9" s="1"/>
  <c r="O39" i="9"/>
  <c r="U39" i="9" s="1"/>
  <c r="S38" i="9"/>
  <c r="S42" i="9" s="1"/>
  <c r="C23" i="10"/>
  <c r="C35" i="10" s="1"/>
  <c r="C38" i="10" s="1"/>
  <c r="D11" i="8"/>
  <c r="AD11" i="7"/>
  <c r="J95" i="7" s="1"/>
  <c r="O38" i="7"/>
  <c r="U38" i="7" s="1"/>
  <c r="U42" i="7" s="1"/>
  <c r="AF37" i="7" s="1"/>
  <c r="C19" i="8"/>
  <c r="C23" i="8" s="1"/>
  <c r="C35" i="8" s="1"/>
  <c r="C38" i="8" s="1"/>
  <c r="C44" i="17"/>
  <c r="V48" i="7"/>
  <c r="AF42" i="7" s="1"/>
  <c r="AD11" i="5"/>
  <c r="J95" i="5" s="1"/>
  <c r="D19" i="6"/>
  <c r="O38" i="5"/>
  <c r="S47" i="3"/>
  <c r="V47" i="3" s="1"/>
  <c r="V48" i="3" s="1"/>
  <c r="AF42" i="3" s="1"/>
  <c r="O39" i="3"/>
  <c r="U39" i="3" s="1"/>
  <c r="F91" i="3"/>
  <c r="J91" i="3" s="1"/>
  <c r="V48" i="1"/>
  <c r="AF42" i="1" s="1"/>
  <c r="Q91" i="1"/>
  <c r="M96" i="1"/>
  <c r="F91" i="1"/>
  <c r="F96" i="1" s="1"/>
  <c r="O38" i="1"/>
  <c r="C23" i="19"/>
  <c r="D23" i="19" s="1"/>
  <c r="C15" i="19"/>
  <c r="D15" i="19" s="1"/>
  <c r="D10" i="14"/>
  <c r="O39" i="13"/>
  <c r="U39" i="13" s="1"/>
  <c r="C29" i="19"/>
  <c r="C42" i="19" s="1"/>
  <c r="C53" i="19" s="1"/>
  <c r="C56" i="19" s="1"/>
  <c r="V47" i="13"/>
  <c r="V48" i="13" s="1"/>
  <c r="AF42" i="13" s="1"/>
  <c r="C14" i="19"/>
  <c r="D14" i="19" s="1"/>
  <c r="Q91" i="11"/>
  <c r="Q96" i="11" s="1"/>
  <c r="M96" i="11"/>
  <c r="O40" i="11"/>
  <c r="U40" i="11" s="1"/>
  <c r="O38" i="11"/>
  <c r="U38" i="11" s="1"/>
  <c r="AD11" i="11"/>
  <c r="J95" i="11" s="1"/>
  <c r="M91" i="9"/>
  <c r="M96" i="9" s="1"/>
  <c r="F91" i="9"/>
  <c r="J91" i="9" s="1"/>
  <c r="C34" i="8"/>
  <c r="C39" i="8" s="1"/>
  <c r="C11" i="6"/>
  <c r="J91" i="5"/>
  <c r="F96" i="5"/>
  <c r="M96" i="5"/>
  <c r="C23" i="4"/>
  <c r="C35" i="4" s="1"/>
  <c r="C38" i="4" s="1"/>
  <c r="D19" i="4"/>
  <c r="M91" i="3"/>
  <c r="S38" i="3"/>
  <c r="S42" i="3" s="1"/>
  <c r="AD11" i="3"/>
  <c r="J95" i="3" s="1"/>
  <c r="C19" i="2"/>
  <c r="C23" i="2" s="1"/>
  <c r="D12" i="2"/>
  <c r="C21" i="17"/>
  <c r="D21" i="17" s="1"/>
  <c r="C17" i="17"/>
  <c r="D17" i="17" s="1"/>
  <c r="C13" i="17"/>
  <c r="D13" i="17" s="1"/>
  <c r="D10" i="2"/>
  <c r="D20" i="14"/>
  <c r="C32" i="19"/>
  <c r="D32" i="19" s="1"/>
  <c r="C24" i="14"/>
  <c r="C34" i="14" s="1"/>
  <c r="C39" i="14" s="1"/>
  <c r="C23" i="14"/>
  <c r="C35" i="14" s="1"/>
  <c r="C38" i="14" s="1"/>
  <c r="D19" i="14"/>
  <c r="B19" i="21"/>
  <c r="AD11" i="13"/>
  <c r="J95" i="13" s="1"/>
  <c r="O38" i="13"/>
  <c r="U38" i="13" s="1"/>
  <c r="J91" i="13"/>
  <c r="F96" i="13"/>
  <c r="I98" i="13" s="1"/>
  <c r="D19" i="12"/>
  <c r="D23" i="12" s="1"/>
  <c r="D11" i="10"/>
  <c r="AD11" i="9"/>
  <c r="J95" i="9" s="1"/>
  <c r="F96" i="7"/>
  <c r="J91" i="7"/>
  <c r="D11" i="12" l="1"/>
  <c r="J96" i="11"/>
  <c r="D20" i="10"/>
  <c r="D23" i="10" s="1"/>
  <c r="C24" i="10"/>
  <c r="C34" i="10" s="1"/>
  <c r="C39" i="10" s="1"/>
  <c r="U38" i="9"/>
  <c r="U42" i="9" s="1"/>
  <c r="AF37" i="9" s="1"/>
  <c r="AF41" i="9" s="1"/>
  <c r="AF43" i="9" s="1"/>
  <c r="O42" i="9"/>
  <c r="AF36" i="9" s="1"/>
  <c r="C8" i="10" s="1"/>
  <c r="I98" i="7"/>
  <c r="C33" i="17"/>
  <c r="D33" i="17" s="1"/>
  <c r="D23" i="6"/>
  <c r="C34" i="4"/>
  <c r="C39" i="4" s="1"/>
  <c r="D20" i="4"/>
  <c r="D23" i="4" s="1"/>
  <c r="O42" i="3"/>
  <c r="U38" i="1"/>
  <c r="U42" i="1" s="1"/>
  <c r="AF37" i="1" s="1"/>
  <c r="C9" i="2" s="1"/>
  <c r="C19" i="19"/>
  <c r="D19" i="19" s="1"/>
  <c r="C18" i="17"/>
  <c r="D18" i="17" s="1"/>
  <c r="D11" i="4"/>
  <c r="Q96" i="1"/>
  <c r="I98" i="1"/>
  <c r="C8" i="2" s="1"/>
  <c r="C43" i="19"/>
  <c r="C52" i="19" s="1"/>
  <c r="C57" i="19" s="1"/>
  <c r="D31" i="19"/>
  <c r="F96" i="11"/>
  <c r="I98" i="11" s="1"/>
  <c r="I99" i="11"/>
  <c r="I102" i="11" s="1"/>
  <c r="I103" i="11" s="1"/>
  <c r="Q91" i="9"/>
  <c r="Q96" i="9" s="1"/>
  <c r="D19" i="8"/>
  <c r="D23" i="8" s="1"/>
  <c r="J96" i="7"/>
  <c r="I99" i="7" s="1"/>
  <c r="I102" i="7" s="1"/>
  <c r="I103" i="7" s="1"/>
  <c r="O42" i="7"/>
  <c r="AF36" i="7" s="1"/>
  <c r="C8" i="8" s="1"/>
  <c r="I98" i="5"/>
  <c r="J96" i="5"/>
  <c r="I99" i="5" s="1"/>
  <c r="I102" i="5" s="1"/>
  <c r="I103" i="5" s="1"/>
  <c r="U38" i="5"/>
  <c r="U42" i="5" s="1"/>
  <c r="AF37" i="5" s="1"/>
  <c r="C9" i="6" s="1"/>
  <c r="C11" i="17" s="1"/>
  <c r="D11" i="17" s="1"/>
  <c r="O42" i="5"/>
  <c r="AF36" i="5" s="1"/>
  <c r="C8" i="6" s="1"/>
  <c r="AF36" i="3"/>
  <c r="F6" i="16" s="1"/>
  <c r="F12" i="16" s="1"/>
  <c r="F13" i="16" s="1"/>
  <c r="F96" i="3"/>
  <c r="O42" i="1"/>
  <c r="AF36" i="1" s="1"/>
  <c r="J91" i="1"/>
  <c r="J96" i="1" s="1"/>
  <c r="D19" i="2"/>
  <c r="D23" i="2" s="1"/>
  <c r="D29" i="19"/>
  <c r="U42" i="13"/>
  <c r="AF37" i="13" s="1"/>
  <c r="AF41" i="13" s="1"/>
  <c r="E11" i="16" s="1"/>
  <c r="D23" i="14"/>
  <c r="U42" i="11"/>
  <c r="AF37" i="11" s="1"/>
  <c r="C9" i="12" s="1"/>
  <c r="C15" i="12" s="1"/>
  <c r="D15" i="12" s="1"/>
  <c r="D24" i="12" s="1"/>
  <c r="O42" i="11"/>
  <c r="AF36" i="11" s="1"/>
  <c r="C8" i="12" s="1"/>
  <c r="F96" i="9"/>
  <c r="I98" i="9" s="1"/>
  <c r="C19" i="17"/>
  <c r="D19" i="17" s="1"/>
  <c r="D11" i="6"/>
  <c r="Q91" i="3"/>
  <c r="Q96" i="3" s="1"/>
  <c r="M96" i="3"/>
  <c r="U38" i="3"/>
  <c r="U42" i="3" s="1"/>
  <c r="AF37" i="3" s="1"/>
  <c r="J96" i="3"/>
  <c r="J96" i="13"/>
  <c r="I99" i="13" s="1"/>
  <c r="I102" i="13" s="1"/>
  <c r="I103" i="13" s="1"/>
  <c r="O42" i="13"/>
  <c r="AF36" i="13" s="1"/>
  <c r="J96" i="9"/>
  <c r="AF41" i="7"/>
  <c r="AF43" i="7" s="1"/>
  <c r="C9" i="8"/>
  <c r="C29" i="17"/>
  <c r="C35" i="2"/>
  <c r="C38" i="2" s="1"/>
  <c r="C9" i="10" l="1"/>
  <c r="D9" i="10" s="1"/>
  <c r="C43" i="17"/>
  <c r="C52" i="17" s="1"/>
  <c r="C57" i="17" s="1"/>
  <c r="C5" i="16"/>
  <c r="C13" i="16" s="1"/>
  <c r="AF41" i="1"/>
  <c r="AF43" i="1" s="1"/>
  <c r="I99" i="1"/>
  <c r="D5" i="16" s="1"/>
  <c r="D13" i="16" s="1"/>
  <c r="D42" i="19"/>
  <c r="I99" i="9"/>
  <c r="I102" i="9" s="1"/>
  <c r="I103" i="9" s="1"/>
  <c r="D9" i="6"/>
  <c r="C15" i="6"/>
  <c r="D15" i="6" s="1"/>
  <c r="D24" i="6" s="1"/>
  <c r="AF41" i="5"/>
  <c r="AF43" i="5" s="1"/>
  <c r="C8" i="4"/>
  <c r="C8" i="17" s="1"/>
  <c r="I98" i="3"/>
  <c r="I99" i="3"/>
  <c r="I102" i="3" s="1"/>
  <c r="I103" i="3" s="1"/>
  <c r="C9" i="14"/>
  <c r="H11" i="16"/>
  <c r="AF43" i="13"/>
  <c r="D9" i="12"/>
  <c r="AF41" i="11"/>
  <c r="AF43" i="11" s="1"/>
  <c r="C10" i="19"/>
  <c r="D10" i="19" s="1"/>
  <c r="AF41" i="3"/>
  <c r="C9" i="4"/>
  <c r="H6" i="16"/>
  <c r="C8" i="14"/>
  <c r="C8" i="19" s="1"/>
  <c r="F11" i="16"/>
  <c r="C12" i="17"/>
  <c r="D12" i="17" s="1"/>
  <c r="C15" i="8"/>
  <c r="D15" i="8" s="1"/>
  <c r="D24" i="8" s="1"/>
  <c r="D9" i="8"/>
  <c r="D29" i="17"/>
  <c r="D42" i="17" s="1"/>
  <c r="C42" i="17"/>
  <c r="C53" i="17" s="1"/>
  <c r="C56" i="17" s="1"/>
  <c r="C15" i="2"/>
  <c r="D15" i="2" s="1"/>
  <c r="D24" i="2" s="1"/>
  <c r="D9" i="2"/>
  <c r="C9" i="17"/>
  <c r="C15" i="10" l="1"/>
  <c r="D15" i="10" s="1"/>
  <c r="D24" i="10" s="1"/>
  <c r="C9" i="19"/>
  <c r="I102" i="1"/>
  <c r="I103" i="1" s="1"/>
  <c r="C35" i="16" s="1"/>
  <c r="C42" i="16" s="1"/>
  <c r="C15" i="14"/>
  <c r="D15" i="14" s="1"/>
  <c r="D24" i="14" s="1"/>
  <c r="D9" i="14"/>
  <c r="C11" i="19"/>
  <c r="D11" i="19" s="1"/>
  <c r="I9" i="16"/>
  <c r="H12" i="16"/>
  <c r="H13" i="16" s="1"/>
  <c r="D9" i="4"/>
  <c r="C10" i="17"/>
  <c r="D10" i="17" s="1"/>
  <c r="C15" i="4"/>
  <c r="D15" i="4" s="1"/>
  <c r="D24" i="4" s="1"/>
  <c r="AF43" i="3"/>
  <c r="E6" i="16"/>
  <c r="E13" i="16" s="1"/>
  <c r="I13" i="16" s="1"/>
  <c r="C30" i="16" s="1"/>
  <c r="D9" i="19"/>
  <c r="D9" i="17"/>
  <c r="D26" i="19" l="1"/>
  <c r="D43" i="19" s="1"/>
  <c r="C26" i="19"/>
  <c r="C26" i="17"/>
  <c r="D26" i="17"/>
  <c r="D43" i="17" s="1"/>
  <c r="E5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<sst xmlns="http://schemas.openxmlformats.org/spreadsheetml/2006/main" count="1504" uniqueCount="220">
  <si>
    <t>FECHA</t>
  </si>
  <si>
    <t xml:space="preserve">TURNO </t>
  </si>
  <si>
    <t>DIURNO &amp; NOCTURNO</t>
  </si>
  <si>
    <t>MINI BAR</t>
  </si>
  <si>
    <t xml:space="preserve">RESPONSABLE </t>
  </si>
  <si>
    <t>$ TASA</t>
  </si>
  <si>
    <t>DESCRIPCIÓN</t>
  </si>
  <si>
    <t>PRECIO</t>
  </si>
  <si>
    <t>CANT # 1</t>
  </si>
  <si>
    <t>TOTAL VENTA</t>
  </si>
  <si>
    <t xml:space="preserve"> SENCILLA</t>
  </si>
  <si>
    <t>TIPO DE HABITACION</t>
  </si>
  <si>
    <t>M</t>
  </si>
  <si>
    <t>TTAL HB</t>
  </si>
  <si>
    <t>HRAS EXTRAS</t>
  </si>
  <si>
    <t>TTAL H EXT</t>
  </si>
  <si>
    <t>MATRINONIAL</t>
  </si>
  <si>
    <t>GATORADE</t>
  </si>
  <si>
    <t>MINI SUIT</t>
  </si>
  <si>
    <t>PRESERVATIVO</t>
  </si>
  <si>
    <t>CAROREÑA</t>
  </si>
  <si>
    <t>DAÑOS,  SERVICIOS Y EXTRAS</t>
  </si>
  <si>
    <t>DESINFECCION</t>
  </si>
  <si>
    <t>DAÑOS</t>
  </si>
  <si>
    <t>SERV LAV X PIEZA</t>
  </si>
  <si>
    <t>DECORACION MOD 1</t>
  </si>
  <si>
    <t>DECORACION MOD 2</t>
  </si>
  <si>
    <t>DECORACION MOD 3</t>
  </si>
  <si>
    <t>CUADRE DE CAJA</t>
  </si>
  <si>
    <t>SENCILLA</t>
  </si>
  <si>
    <t>PERNOTA</t>
  </si>
  <si>
    <t>TOTAL HABITACIÓN</t>
  </si>
  <si>
    <t>OTROS DAÑOS</t>
  </si>
  <si>
    <t>HABITACIÓN</t>
  </si>
  <si>
    <t xml:space="preserve">SENCILLA </t>
  </si>
  <si>
    <t>HORAS ADICIONAL</t>
  </si>
  <si>
    <t>CANTID. HAB</t>
  </si>
  <si>
    <t>HORAS ADIC</t>
  </si>
  <si>
    <t>VENTA</t>
  </si>
  <si>
    <t>TOTAL VENTA HOTEL</t>
  </si>
  <si>
    <t>ACOMPAÑATE</t>
  </si>
  <si>
    <t>MINI SUITE</t>
  </si>
  <si>
    <t>DOBLE</t>
  </si>
  <si>
    <t>DAÑOS, SERV Y OTROS</t>
  </si>
  <si>
    <t>ACOMPAÑANTE</t>
  </si>
  <si>
    <t>TOTAL DISPONIBLE</t>
  </si>
  <si>
    <t>EFECTIVO</t>
  </si>
  <si>
    <t>DIVISA</t>
  </si>
  <si>
    <t>FORMA DE PAGO DISPONIBLE</t>
  </si>
  <si>
    <t>EFECTIVO BS</t>
  </si>
  <si>
    <t>PAGO MOVIL</t>
  </si>
  <si>
    <t>FORMA DE PAGO</t>
  </si>
  <si>
    <t>FORMAS DE PAGO</t>
  </si>
  <si>
    <t>1ER CORTE</t>
  </si>
  <si>
    <t>2DO CORTE</t>
  </si>
  <si>
    <t>PAGO MÓVIL</t>
  </si>
  <si>
    <t>PUNTO VENTA</t>
  </si>
  <si>
    <t>SUIT</t>
  </si>
  <si>
    <t>TOTAL BS&amp;$</t>
  </si>
  <si>
    <t>-</t>
  </si>
  <si>
    <t>TOTAL VENTA MINI BAR</t>
  </si>
  <si>
    <t xml:space="preserve">OBSERVACIONES: </t>
  </si>
  <si>
    <t>SERVICIO LAVANDERIA</t>
  </si>
  <si>
    <t>TOTAL VENTA NETA</t>
  </si>
  <si>
    <t>DIFERENCIA</t>
  </si>
  <si>
    <t>VENTA TOTAL MINI BAR</t>
  </si>
  <si>
    <t>*</t>
  </si>
  <si>
    <t>TASA INTERNA</t>
  </si>
  <si>
    <t xml:space="preserve">TOTAL HABITACIONES </t>
  </si>
  <si>
    <t xml:space="preserve">VENTAS HABITACIONES </t>
  </si>
  <si>
    <t>INGRESO DE ACOMPAÑANTE</t>
  </si>
  <si>
    <t>VENTAS MINI BAR</t>
  </si>
  <si>
    <t xml:space="preserve">TOTAL VENTAS </t>
  </si>
  <si>
    <t>DISPONIBLE</t>
  </si>
  <si>
    <t>DESCRIPCION</t>
  </si>
  <si>
    <t>DESGLOSE</t>
  </si>
  <si>
    <t>INGRESO REAL DIARIO</t>
  </si>
  <si>
    <t xml:space="preserve">DIVISAS </t>
  </si>
  <si>
    <t>EFECTIVO BSS</t>
  </si>
  <si>
    <t xml:space="preserve">TRANSF / PAGO MOVIL </t>
  </si>
  <si>
    <t>ZELLE</t>
  </si>
  <si>
    <t>EFECTIVO $</t>
  </si>
  <si>
    <t>EGRESOS</t>
  </si>
  <si>
    <t>BS</t>
  </si>
  <si>
    <t>$</t>
  </si>
  <si>
    <t>EFECTIVO VENTA DIARIA BS</t>
  </si>
  <si>
    <t>EFECTIVO VENTA DIARIA $</t>
  </si>
  <si>
    <t>EGRESOS BS</t>
  </si>
  <si>
    <t>EGRESOS $</t>
  </si>
  <si>
    <t>TOTAL A ENTREGAR $</t>
  </si>
  <si>
    <t>TOTAL ENTREGAR BS EFEC</t>
  </si>
  <si>
    <t xml:space="preserve">OBSERVACION: </t>
  </si>
  <si>
    <t>OBSERVACION:</t>
  </si>
  <si>
    <t>TASA LUNES</t>
  </si>
  <si>
    <t>TASA MARTES</t>
  </si>
  <si>
    <t>TASA MIERCOLES</t>
  </si>
  <si>
    <t>TASA JUEVES</t>
  </si>
  <si>
    <t>VENTAS HABITACIONES LUNES</t>
  </si>
  <si>
    <t>VENTAS HABITACIONES MARTES</t>
  </si>
  <si>
    <t>VENTAS HABITACIONES MIERCOLES</t>
  </si>
  <si>
    <t>VENTAS HABITACIONES JUEVES</t>
  </si>
  <si>
    <t>INGRESO DE ACOMPAÑANTE LUNES</t>
  </si>
  <si>
    <t>INGRESO DE ACOMPAÑANTE MARTES</t>
  </si>
  <si>
    <t>INGRESO DE ACOMPAÑANTE MIERCOLES</t>
  </si>
  <si>
    <t>INGRESO DE ACOMPAÑANTE JUEVES</t>
  </si>
  <si>
    <t>VENTAS MINI BAR LUNES</t>
  </si>
  <si>
    <t>VENTAS MINI BAR MARTES</t>
  </si>
  <si>
    <t>VENTAS MINI BAR MIERCOLES</t>
  </si>
  <si>
    <t>VENTAS MINI BAR JUEVES</t>
  </si>
  <si>
    <t>DAÑOS, SERV Y OTROS LUNES</t>
  </si>
  <si>
    <t>DAÑOS, SERV Y OTROS MARTES</t>
  </si>
  <si>
    <t>DAÑOS, SERV Y OTROS MIERCOLES</t>
  </si>
  <si>
    <t>DAÑOS, SERV Y OTROS JUEVES</t>
  </si>
  <si>
    <t>EFECTIVO BSS LUNES</t>
  </si>
  <si>
    <t>EFECTIVO BSS MARTES</t>
  </si>
  <si>
    <t>EFECTIVO BSS MIERCOLES</t>
  </si>
  <si>
    <t>EFECTIVO BSS JUEVES</t>
  </si>
  <si>
    <t xml:space="preserve">PUNTO VENTA </t>
  </si>
  <si>
    <t>TRANSF / PAGO MOVIL LUNES</t>
  </si>
  <si>
    <t>TRANSF / PAGO MOVIL MARTES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</si>
  <si>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</si>
  <si>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TRANSF / PAGO MOVIL MIERCOLES</t>
  </si>
  <si>
    <t>TRANSF / PAGO MOVIL JUEVES</t>
  </si>
  <si>
    <t>CAMBIO BS X $</t>
  </si>
  <si>
    <t>CAMBIO $ X BSS</t>
  </si>
  <si>
    <t>MNI SUITE</t>
  </si>
  <si>
    <t>HOTEL</t>
  </si>
  <si>
    <t>TASA PROMEDIO</t>
  </si>
  <si>
    <t>DIAS SEMANA</t>
  </si>
  <si>
    <t xml:space="preserve">HABITACION </t>
  </si>
  <si>
    <t>DIVISAS</t>
  </si>
  <si>
    <t>LUNES</t>
  </si>
  <si>
    <t>MARTES</t>
  </si>
  <si>
    <t>MIÉRCOLES</t>
  </si>
  <si>
    <t>JUEVES</t>
  </si>
  <si>
    <t>VIERNES</t>
  </si>
  <si>
    <t>SÁBADO</t>
  </si>
  <si>
    <t>DOMINGO</t>
  </si>
  <si>
    <t>TOTALES</t>
  </si>
  <si>
    <t>DIAS</t>
  </si>
  <si>
    <t>CORTE VIERNES</t>
  </si>
  <si>
    <t>CORTE DOMINGO</t>
  </si>
  <si>
    <t>TOTAL</t>
  </si>
  <si>
    <t xml:space="preserve">SOBRANTES Y FALTANTES </t>
  </si>
  <si>
    <t>RESPONSABLE</t>
  </si>
  <si>
    <t>TASA VIERNES</t>
  </si>
  <si>
    <t>TASA SABADO</t>
  </si>
  <si>
    <t>TASA DOMINGO</t>
  </si>
  <si>
    <t>VENTAS HABITACIONES VIERNES</t>
  </si>
  <si>
    <t>VENTAS HABITACIONES SABADO</t>
  </si>
  <si>
    <t>VENTAS HABITACIONES DOMIGO</t>
  </si>
  <si>
    <t>INGRESO DE ACOMPAÑANTE VIERNES</t>
  </si>
  <si>
    <t>INGRESO DE ACOMPAÑANTE SABADO</t>
  </si>
  <si>
    <t>INGRESO DE ACOMPAÑANTE DOMINGO</t>
  </si>
  <si>
    <t>VENTAS MINI BAR VIERNES</t>
  </si>
  <si>
    <t>VENTAS MINI BAR SABADO</t>
  </si>
  <si>
    <t>VENTAS MINI BAR DOMINGO</t>
  </si>
  <si>
    <t>DAÑOS, SERV Y OTROS VIERNES</t>
  </si>
  <si>
    <t>DAÑOS, SERV Y OTROS SABADO</t>
  </si>
  <si>
    <t>DAÑOS, SERV Y OTROS DOMINGO</t>
  </si>
  <si>
    <t>EFECTIVO BSS VIERNES</t>
  </si>
  <si>
    <t>EFECTIVO BSS SABADO</t>
  </si>
  <si>
    <t>EFECTIVO BSS DOMINGO</t>
  </si>
  <si>
    <t>TRANSF / PAGO MOVIL VIERNES</t>
  </si>
  <si>
    <t>TRANSF / PAGO MOVIL SABADO</t>
  </si>
  <si>
    <t>TRANSF / PAGO MOVIL DOMINGO</t>
  </si>
  <si>
    <t>VENTAS MINI BAR X SEMANA</t>
  </si>
  <si>
    <t>LUNE SNACK Y OTROS</t>
  </si>
  <si>
    <t>LUNES CERVEZAS</t>
  </si>
  <si>
    <t>MARTES SNACK Y OTROS</t>
  </si>
  <si>
    <t>MARTES CERVEZAS OTROS</t>
  </si>
  <si>
    <t>MIERCOLES SNACK</t>
  </si>
  <si>
    <t>MIERCOLES CERVEZAS</t>
  </si>
  <si>
    <t>JUEVES SNACK</t>
  </si>
  <si>
    <t>JUEVES CERVEZAS</t>
  </si>
  <si>
    <t>VIERNES SNACK</t>
  </si>
  <si>
    <t>VIERNES CERVEZAS</t>
  </si>
  <si>
    <t>SABADO SNACK</t>
  </si>
  <si>
    <t>SABADO CERVEZAS</t>
  </si>
  <si>
    <t>DOMINGO SNACK Y OTROS</t>
  </si>
  <si>
    <t>DOMINGO CERVEZAS</t>
  </si>
  <si>
    <t>AGUA PEQUEÑA</t>
  </si>
  <si>
    <t>AGUA MEDIANA</t>
  </si>
  <si>
    <t>TOTAL PAGO MOVIL Y PDV</t>
  </si>
  <si>
    <t xml:space="preserve"> PERNOCTA</t>
  </si>
  <si>
    <t>PERNOCTA</t>
  </si>
  <si>
    <t>SODA</t>
  </si>
  <si>
    <t>OREO</t>
  </si>
  <si>
    <t>FREGELL</t>
  </si>
  <si>
    <t>SAMBA</t>
  </si>
  <si>
    <t>OBSERVACION: SOBRANTE DE 0,5 POR VUELTO</t>
  </si>
  <si>
    <t>MINI REFRESCO</t>
  </si>
  <si>
    <t>REFRESCO 1 LTS</t>
  </si>
  <si>
    <t>POWER 400ML</t>
  </si>
  <si>
    <t>ROCKSTAR</t>
  </si>
  <si>
    <t>REDBULL</t>
  </si>
  <si>
    <t>TE CRISTAL</t>
  </si>
  <si>
    <t>MALTA</t>
  </si>
  <si>
    <t>CERVEZA POLAR</t>
  </si>
  <si>
    <t>SOLERA</t>
  </si>
  <si>
    <t>PACK  POLAR</t>
  </si>
  <si>
    <t>DORITO PEQ</t>
  </si>
  <si>
    <t>DORITO MED</t>
  </si>
  <si>
    <t>CHEESE TREE PEQ</t>
  </si>
  <si>
    <t>CHEESE TREE MED</t>
  </si>
  <si>
    <t>PEPITO FIRTOLAY</t>
  </si>
  <si>
    <t>TOSTON TOM</t>
  </si>
  <si>
    <t xml:space="preserve">COCOSSETE </t>
  </si>
  <si>
    <t>SUPER POPY</t>
  </si>
  <si>
    <t>GALAK</t>
  </si>
  <si>
    <t>GALLETA CLUB</t>
  </si>
  <si>
    <t>BOM BOM BUM</t>
  </si>
  <si>
    <t>JABON DE BAÑO</t>
  </si>
  <si>
    <t>TE LIPTON</t>
  </si>
  <si>
    <t>VITA TE</t>
  </si>
  <si>
    <t>SARA</t>
  </si>
  <si>
    <t>HILDA</t>
  </si>
  <si>
    <t>DAI</t>
  </si>
  <si>
    <t xml:space="preserve"> </t>
  </si>
  <si>
    <t>NUCITA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</si>
</sst>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 * #,##0.00_ ;_ * \-#,##0.00_ ;_ * &quot;-&quot;??_ ;_ @_ "/>
    <numFmt numFmtId="165" formatCode="[$-F800]dddd\,\ mmmm\ dd\,\ yyyy"/>
    <numFmt numFmtId="166" formatCode="_-[$$-540A]* #,##0.00_ ;_-[$$-540A]* \-#,##0.00\ ;_-[$$-540A]* &quot;-&quot;??_ ;_-@_ "/>
    <numFmt numFmtId="167" formatCode="_-* #,##0\ [$BSD]_-;\-* #,##0\ [$BSD]_-;_-* &quot;-&quot;??\ [$BSD]_-;_-@_-"/>
    <numFmt numFmtId="168" formatCode="[$$-540A]#,##0.00"/>
    <numFmt numFmtId="169" formatCode="[$$-540A]#,##0.00_ ;[Red]\-[$$-540A]#,##0.00\ "/>
    <numFmt numFmtId="170" formatCode="[$$-409]#,##0.00"/>
    <numFmt numFmtId="171" formatCode="_-* #,##0.00\ [$BSD]_-;\-* #,##0.00\ [$BSD]_-;_-* &quot;-&quot;??\ [$BSD]_-;_-@_-"/>
    <numFmt numFmtId="172" formatCode="_-* #,##0.0\ [$BSD]_-;\-* #,##0.0\ [$BSD]_-;_-* &quot;-&quot;??\ [$BSD]_-;_-@_-"/>
  </numFmts>
  <fonts count="58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mo"/>
      <charset val="134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Arimo"/>
      <charset val="134"/>
    </font>
    <font>
      <sz val="11"/>
      <color theme="1"/>
      <name val="Arimo"/>
      <charset val="134"/>
    </font>
    <font>
      <b/>
      <sz val="10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0"/>
      <color theme="0"/>
      <name val="Arimo"/>
      <charset val="134"/>
    </font>
    <font>
      <b/>
      <sz val="10"/>
      <color theme="1"/>
      <name val="Arimo"/>
      <charset val="134"/>
    </font>
    <font>
      <sz val="10"/>
      <color rgb="FF000000"/>
      <name val="Arimo"/>
      <charset val="134"/>
    </font>
    <font>
      <b/>
      <sz val="11"/>
      <color theme="1"/>
      <name val="Arimo"/>
      <charset val="134"/>
    </font>
    <font>
      <b/>
      <sz val="12"/>
      <color theme="1"/>
      <name val="Arimo"/>
      <charset val="134"/>
    </font>
    <font>
      <sz val="8"/>
      <color theme="1"/>
      <name val="Arimo"/>
      <charset val="134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</font>
    <font>
      <b/>
      <sz val="24"/>
      <color theme="1"/>
      <name val="Calibri"/>
      <family val="2"/>
    </font>
    <font>
      <sz val="20"/>
      <color theme="1"/>
      <name val="Calibri"/>
      <family val="2"/>
    </font>
    <font>
      <b/>
      <sz val="12"/>
      <color theme="0"/>
      <name val="Calibri"/>
      <family val="2"/>
    </font>
    <font>
      <b/>
      <sz val="18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20"/>
      <color theme="1"/>
      <name val="Arimo"/>
      <charset val="134"/>
    </font>
    <font>
      <b/>
      <sz val="10"/>
      <color rgb="FF000000"/>
      <name val="Arimo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0"/>
      <name val="Calibri"/>
      <family val="2"/>
    </font>
    <font>
      <sz val="22"/>
      <color theme="1"/>
      <name val="Calibri"/>
      <family val="2"/>
    </font>
    <font>
      <b/>
      <sz val="22"/>
      <color theme="0"/>
      <name val="Calibri"/>
      <family val="2"/>
    </font>
    <font>
      <sz val="36"/>
      <color theme="1"/>
      <name val="Bahnschrift SemiBold SemiConden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b/>
      <u/>
      <sz val="15"/>
      <color theme="1"/>
      <name val="Calibri"/>
      <family val="2"/>
    </font>
    <font>
      <b/>
      <sz val="22"/>
      <color theme="1"/>
      <name val="Calibri"/>
      <family val="2"/>
    </font>
    <font>
      <sz val="10"/>
      <name val="Calibri"/>
      <family val="2"/>
    </font>
    <font>
      <sz val="26"/>
      <color theme="1"/>
      <name val="Bahnschrift SemiBold SemiConden"/>
      <family val="2"/>
    </font>
    <font>
      <b/>
      <sz val="9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9CC2E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14996795556505021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rgb="FF2E75B5"/>
      </patternFill>
    </fill>
    <fill>
      <patternFill patternType="solid">
        <fgColor rgb="FFFFC000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theme="9" tint="0.79995117038483843"/>
        <bgColor rgb="FFF4B083"/>
      </patternFill>
    </fill>
    <fill>
      <patternFill patternType="solid">
        <fgColor rgb="FF92D050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14996795556505021"/>
        <bgColor rgb="FF00B050"/>
      </patternFill>
    </fill>
    <fill>
      <patternFill patternType="solid">
        <fgColor theme="0" tint="-0.14996795556505021"/>
        <bgColor rgb="FFFFFF00"/>
      </patternFill>
    </fill>
    <fill>
      <patternFill patternType="solid">
        <fgColor theme="0" tint="-0.14996795556505021"/>
        <bgColor rgb="FFC55A11"/>
      </patternFill>
    </fill>
    <fill>
      <patternFill patternType="solid">
        <fgColor theme="0" tint="-0.14996795556505021"/>
        <bgColor rgb="FF00B0F0"/>
      </patternFill>
    </fill>
    <fill>
      <patternFill patternType="solid">
        <fgColor rgb="FFF7CAAC"/>
        <bgColor rgb="FFF7CAAC"/>
      </patternFill>
    </fill>
    <fill>
      <patternFill patternType="solid">
        <fgColor theme="0" tint="-0.14996795556505021"/>
        <bgColor rgb="FFF7CAA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C55A11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B4C6E7"/>
      </patternFill>
    </fill>
    <fill>
      <patternFill patternType="solid">
        <fgColor rgb="FF00B05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/>
        <bgColor theme="8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00B050"/>
        <bgColor rgb="FF00B0F0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</borders>
  <cellStyleXfs count="2">
    <xf numFmtId="0" fontId="0" fillId="0" borderId="0"/>
    <xf numFmtId="164" fontId="23" fillId="0" borderId="0" applyFont="0" applyFill="0" applyBorder="0" applyAlignment="0" applyProtection="0"/>
  </cellStyleXfs>
  <cellXfs count="518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165" fontId="4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5" fontId="6" fillId="3" borderId="3" xfId="0" applyNumberFormat="1" applyFont="1" applyFill="1" applyBorder="1"/>
    <xf numFmtId="164" fontId="6" fillId="3" borderId="3" xfId="0" applyNumberFormat="1" applyFont="1" applyFill="1" applyBorder="1"/>
    <xf numFmtId="164" fontId="7" fillId="5" borderId="3" xfId="0" applyNumberFormat="1" applyFont="1" applyFill="1" applyBorder="1"/>
    <xf numFmtId="166" fontId="7" fillId="5" borderId="3" xfId="0" applyNumberFormat="1" applyFont="1" applyFill="1" applyBorder="1"/>
    <xf numFmtId="164" fontId="8" fillId="6" borderId="3" xfId="0" applyNumberFormat="1" applyFont="1" applyFill="1" applyBorder="1" applyAlignment="1">
      <alignment horizontal="right"/>
    </xf>
    <xf numFmtId="166" fontId="8" fillId="6" borderId="3" xfId="0" applyNumberFormat="1" applyFont="1" applyFill="1" applyBorder="1"/>
    <xf numFmtId="164" fontId="4" fillId="0" borderId="0" xfId="0" applyNumberFormat="1" applyFont="1"/>
    <xf numFmtId="4" fontId="3" fillId="0" borderId="0" xfId="0" applyNumberFormat="1" applyFont="1"/>
    <xf numFmtId="0" fontId="3" fillId="2" borderId="0" xfId="0" applyFont="1" applyFill="1"/>
    <xf numFmtId="0" fontId="10" fillId="0" borderId="0" xfId="0" applyFont="1" applyAlignment="1">
      <alignment horizontal="center"/>
    </xf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right" vertical="center"/>
    </xf>
    <xf numFmtId="0" fontId="5" fillId="0" borderId="0" xfId="0" applyFont="1"/>
    <xf numFmtId="164" fontId="1" fillId="2" borderId="0" xfId="0" applyNumberFormat="1" applyFont="1" applyFill="1" applyAlignment="1">
      <alignment horizontal="right" vertical="center"/>
    </xf>
    <xf numFmtId="164" fontId="1" fillId="2" borderId="1" xfId="0" applyNumberFormat="1" applyFont="1" applyFill="1" applyBorder="1" applyAlignment="1">
      <alignment vertical="center"/>
    </xf>
    <xf numFmtId="0" fontId="2" fillId="0" borderId="4" xfId="0" applyFont="1" applyBorder="1"/>
    <xf numFmtId="0" fontId="11" fillId="0" borderId="0" xfId="0" applyFont="1"/>
    <xf numFmtId="164" fontId="4" fillId="2" borderId="0" xfId="0" applyNumberFormat="1" applyFont="1" applyFill="1" applyAlignment="1">
      <alignment horizontal="left"/>
    </xf>
    <xf numFmtId="164" fontId="12" fillId="2" borderId="1" xfId="0" applyNumberFormat="1" applyFont="1" applyFill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13" fillId="2" borderId="0" xfId="0" applyNumberFormat="1" applyFont="1" applyFill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0" fontId="5" fillId="3" borderId="3" xfId="0" applyFont="1" applyFill="1" applyBorder="1"/>
    <xf numFmtId="164" fontId="3" fillId="3" borderId="3" xfId="0" applyNumberFormat="1" applyFont="1" applyFill="1" applyBorder="1"/>
    <xf numFmtId="164" fontId="3" fillId="3" borderId="3" xfId="0" applyNumberFormat="1" applyFont="1" applyFill="1" applyBorder="1" applyAlignment="1">
      <alignment horizontal="right" vertical="center"/>
    </xf>
    <xf numFmtId="164" fontId="11" fillId="0" borderId="10" xfId="1" applyFont="1" applyBorder="1"/>
    <xf numFmtId="164" fontId="11" fillId="0" borderId="11" xfId="1" applyFont="1" applyBorder="1" applyAlignment="1"/>
    <xf numFmtId="164" fontId="11" fillId="0" borderId="11" xfId="1" applyFont="1" applyBorder="1"/>
    <xf numFmtId="164" fontId="11" fillId="0" borderId="12" xfId="1" applyFont="1" applyBorder="1"/>
    <xf numFmtId="165" fontId="5" fillId="3" borderId="3" xfId="0" applyNumberFormat="1" applyFont="1" applyFill="1" applyBorder="1"/>
    <xf numFmtId="164" fontId="5" fillId="3" borderId="3" xfId="0" applyNumberFormat="1" applyFont="1" applyFill="1" applyBorder="1"/>
    <xf numFmtId="164" fontId="14" fillId="6" borderId="13" xfId="0" applyNumberFormat="1" applyFont="1" applyFill="1" applyBorder="1"/>
    <xf numFmtId="164" fontId="7" fillId="7" borderId="3" xfId="0" applyNumberFormat="1" applyFont="1" applyFill="1" applyBorder="1"/>
    <xf numFmtId="164" fontId="3" fillId="7" borderId="3" xfId="0" applyNumberFormat="1" applyFont="1" applyFill="1" applyBorder="1" applyAlignment="1">
      <alignment horizontal="right" vertical="center"/>
    </xf>
    <xf numFmtId="0" fontId="16" fillId="0" borderId="0" xfId="0" applyFont="1"/>
    <xf numFmtId="167" fontId="5" fillId="9" borderId="13" xfId="0" applyNumberFormat="1" applyFont="1" applyFill="1" applyBorder="1" applyAlignment="1">
      <alignment horizontal="center"/>
    </xf>
    <xf numFmtId="0" fontId="5" fillId="0" borderId="3" xfId="0" applyFont="1" applyBorder="1"/>
    <xf numFmtId="166" fontId="5" fillId="9" borderId="13" xfId="0" applyNumberFormat="1" applyFont="1" applyFill="1" applyBorder="1" applyAlignment="1">
      <alignment horizontal="center"/>
    </xf>
    <xf numFmtId="0" fontId="11" fillId="10" borderId="13" xfId="0" applyFont="1" applyFill="1" applyBorder="1"/>
    <xf numFmtId="0" fontId="11" fillId="0" borderId="3" xfId="0" applyFont="1" applyBorder="1"/>
    <xf numFmtId="0" fontId="11" fillId="0" borderId="15" xfId="0" applyFont="1" applyBorder="1"/>
    <xf numFmtId="0" fontId="11" fillId="0" borderId="13" xfId="0" applyFont="1" applyBorder="1"/>
    <xf numFmtId="164" fontId="4" fillId="2" borderId="0" xfId="0" applyNumberFormat="1" applyFont="1" applyFill="1" applyAlignment="1">
      <alignment horizontal="right" vertical="center"/>
    </xf>
    <xf numFmtId="164" fontId="17" fillId="11" borderId="0" xfId="0" applyNumberFormat="1" applyFont="1" applyFill="1" applyAlignment="1">
      <alignment horizontal="center" vertical="center" wrapText="1"/>
    </xf>
    <xf numFmtId="164" fontId="17" fillId="11" borderId="16" xfId="0" applyNumberFormat="1" applyFont="1" applyFill="1" applyBorder="1" applyAlignment="1">
      <alignment horizontal="center" vertical="center" wrapText="1"/>
    </xf>
    <xf numFmtId="164" fontId="17" fillId="11" borderId="17" xfId="0" applyNumberFormat="1" applyFont="1" applyFill="1" applyBorder="1" applyAlignment="1">
      <alignment horizontal="center" vertical="center" wrapText="1"/>
    </xf>
    <xf numFmtId="164" fontId="18" fillId="7" borderId="3" xfId="0" applyNumberFormat="1" applyFont="1" applyFill="1" applyBorder="1" applyAlignment="1">
      <alignment horizontal="left" vertical="top"/>
    </xf>
    <xf numFmtId="164" fontId="4" fillId="7" borderId="3" xfId="0" applyNumberFormat="1" applyFont="1" applyFill="1" applyBorder="1" applyAlignment="1">
      <alignment horizontal="right" vertical="center"/>
    </xf>
    <xf numFmtId="166" fontId="19" fillId="7" borderId="3" xfId="0" applyNumberFormat="1" applyFont="1" applyFill="1" applyBorder="1"/>
    <xf numFmtId="164" fontId="18" fillId="12" borderId="3" xfId="0" applyNumberFormat="1" applyFont="1" applyFill="1" applyBorder="1" applyAlignment="1">
      <alignment horizontal="left" vertical="top"/>
    </xf>
    <xf numFmtId="164" fontId="4" fillId="12" borderId="3" xfId="0" applyNumberFormat="1" applyFont="1" applyFill="1" applyBorder="1" applyAlignment="1">
      <alignment horizontal="right" vertical="center"/>
    </xf>
    <xf numFmtId="166" fontId="19" fillId="12" borderId="3" xfId="0" applyNumberFormat="1" applyFont="1" applyFill="1" applyBorder="1"/>
    <xf numFmtId="164" fontId="20" fillId="12" borderId="3" xfId="0" applyNumberFormat="1" applyFont="1" applyFill="1" applyBorder="1" applyAlignment="1">
      <alignment horizontal="right" vertical="center"/>
    </xf>
    <xf numFmtId="164" fontId="4" fillId="2" borderId="16" xfId="0" applyNumberFormat="1" applyFont="1" applyFill="1" applyBorder="1" applyAlignment="1">
      <alignment horizontal="right" vertical="center"/>
    </xf>
    <xf numFmtId="166" fontId="19" fillId="13" borderId="16" xfId="0" applyNumberFormat="1" applyFont="1" applyFill="1" applyBorder="1"/>
    <xf numFmtId="164" fontId="21" fillId="2" borderId="0" xfId="0" applyNumberFormat="1" applyFont="1" applyFill="1"/>
    <xf numFmtId="164" fontId="3" fillId="0" borderId="0" xfId="0" applyNumberFormat="1" applyFont="1"/>
    <xf numFmtId="164" fontId="4" fillId="2" borderId="0" xfId="0" applyNumberFormat="1" applyFont="1" applyFill="1"/>
    <xf numFmtId="164" fontId="18" fillId="14" borderId="18" xfId="0" applyNumberFormat="1" applyFont="1" applyFill="1" applyBorder="1" applyAlignment="1">
      <alignment horizontal="center" vertical="center"/>
    </xf>
    <xf numFmtId="164" fontId="18" fillId="14" borderId="19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 wrapText="1"/>
    </xf>
    <xf numFmtId="0" fontId="23" fillId="0" borderId="0" xfId="0" applyFont="1"/>
    <xf numFmtId="164" fontId="4" fillId="0" borderId="0" xfId="0" applyNumberFormat="1" applyFont="1" applyAlignment="1">
      <alignment horizontal="right" vertical="center"/>
    </xf>
    <xf numFmtId="164" fontId="3" fillId="2" borderId="20" xfId="0" applyNumberFormat="1" applyFont="1" applyFill="1" applyBorder="1"/>
    <xf numFmtId="164" fontId="4" fillId="0" borderId="3" xfId="0" applyNumberFormat="1" applyFont="1" applyBorder="1" applyAlignment="1">
      <alignment horizontal="left" vertical="top"/>
    </xf>
    <xf numFmtId="164" fontId="7" fillId="0" borderId="3" xfId="0" applyNumberFormat="1" applyFont="1" applyBorder="1"/>
    <xf numFmtId="0" fontId="4" fillId="0" borderId="3" xfId="0" applyFont="1" applyBorder="1" applyAlignment="1">
      <alignment horizontal="left" vertical="top"/>
    </xf>
    <xf numFmtId="164" fontId="19" fillId="0" borderId="3" xfId="0" applyNumberFormat="1" applyFont="1" applyBorder="1"/>
    <xf numFmtId="0" fontId="4" fillId="3" borderId="3" xfId="0" applyFont="1" applyFill="1" applyBorder="1" applyAlignment="1">
      <alignment horizontal="left" vertical="top"/>
    </xf>
    <xf numFmtId="164" fontId="19" fillId="3" borderId="3" xfId="0" applyNumberFormat="1" applyFont="1" applyFill="1" applyBorder="1"/>
    <xf numFmtId="0" fontId="3" fillId="3" borderId="3" xfId="0" applyFont="1" applyFill="1" applyBorder="1"/>
    <xf numFmtId="0" fontId="24" fillId="15" borderId="0" xfId="0" applyFont="1" applyFill="1"/>
    <xf numFmtId="0" fontId="15" fillId="16" borderId="3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 wrapText="1"/>
    </xf>
    <xf numFmtId="14" fontId="3" fillId="17" borderId="0" xfId="0" applyNumberFormat="1" applyFont="1" applyFill="1"/>
    <xf numFmtId="0" fontId="15" fillId="18" borderId="3" xfId="0" applyFont="1" applyFill="1" applyBorder="1"/>
    <xf numFmtId="2" fontId="3" fillId="17" borderId="3" xfId="0" applyNumberFormat="1" applyFont="1" applyFill="1" applyBorder="1"/>
    <xf numFmtId="168" fontId="3" fillId="17" borderId="3" xfId="0" applyNumberFormat="1" applyFont="1" applyFill="1" applyBorder="1"/>
    <xf numFmtId="0" fontId="3" fillId="17" borderId="3" xfId="0" applyFont="1" applyFill="1" applyBorder="1"/>
    <xf numFmtId="0" fontId="3" fillId="17" borderId="15" xfId="0" applyFont="1" applyFill="1" applyBorder="1"/>
    <xf numFmtId="0" fontId="3" fillId="0" borderId="3" xfId="0" applyFont="1" applyBorder="1"/>
    <xf numFmtId="2" fontId="3" fillId="0" borderId="0" xfId="0" applyNumberFormat="1" applyFont="1"/>
    <xf numFmtId="14" fontId="3" fillId="0" borderId="0" xfId="0" applyNumberFormat="1" applyFont="1"/>
    <xf numFmtId="2" fontId="3" fillId="0" borderId="3" xfId="0" applyNumberFormat="1" applyFont="1" applyBorder="1"/>
    <xf numFmtId="168" fontId="3" fillId="0" borderId="3" xfId="0" applyNumberFormat="1" applyFont="1" applyBorder="1"/>
    <xf numFmtId="0" fontId="3" fillId="0" borderId="17" xfId="0" applyFont="1" applyBorder="1"/>
    <xf numFmtId="4" fontId="3" fillId="0" borderId="3" xfId="0" applyNumberFormat="1" applyFont="1" applyBorder="1"/>
    <xf numFmtId="0" fontId="15" fillId="0" borderId="0" xfId="0" applyFont="1"/>
    <xf numFmtId="4" fontId="10" fillId="19" borderId="17" xfId="0" applyNumberFormat="1" applyFont="1" applyFill="1" applyBorder="1"/>
    <xf numFmtId="0" fontId="15" fillId="20" borderId="3" xfId="0" applyFont="1" applyFill="1" applyBorder="1"/>
    <xf numFmtId="2" fontId="3" fillId="20" borderId="3" xfId="0" applyNumberFormat="1" applyFont="1" applyFill="1" applyBorder="1"/>
    <xf numFmtId="168" fontId="3" fillId="20" borderId="3" xfId="0" applyNumberFormat="1" applyFont="1" applyFill="1" applyBorder="1"/>
    <xf numFmtId="168" fontId="3" fillId="0" borderId="0" xfId="0" applyNumberFormat="1" applyFont="1"/>
    <xf numFmtId="0" fontId="3" fillId="15" borderId="0" xfId="0" applyFont="1" applyFill="1"/>
    <xf numFmtId="0" fontId="25" fillId="21" borderId="3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5" fillId="17" borderId="3" xfId="0" applyFont="1" applyFill="1" applyBorder="1"/>
    <xf numFmtId="0" fontId="15" fillId="0" borderId="3" xfId="0" applyFont="1" applyBorder="1"/>
    <xf numFmtId="2" fontId="15" fillId="0" borderId="1" xfId="0" applyNumberFormat="1" applyFont="1" applyBorder="1" applyAlignment="1">
      <alignment horizontal="center"/>
    </xf>
    <xf numFmtId="168" fontId="5" fillId="0" borderId="0" xfId="0" applyNumberFormat="1" applyFont="1"/>
    <xf numFmtId="0" fontId="2" fillId="0" borderId="14" xfId="0" applyFont="1" applyBorder="1"/>
    <xf numFmtId="0" fontId="27" fillId="2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5" fillId="18" borderId="3" xfId="0" applyFont="1" applyFill="1" applyBorder="1" applyAlignment="1">
      <alignment horizontal="center"/>
    </xf>
    <xf numFmtId="2" fontId="3" fillId="7" borderId="3" xfId="0" applyNumberFormat="1" applyFont="1" applyFill="1" applyBorder="1" applyAlignment="1">
      <alignment horizontal="center"/>
    </xf>
    <xf numFmtId="2" fontId="3" fillId="24" borderId="3" xfId="0" applyNumberFormat="1" applyFont="1" applyFill="1" applyBorder="1" applyAlignment="1">
      <alignment horizontal="center"/>
    </xf>
    <xf numFmtId="0" fontId="3" fillId="0" borderId="24" xfId="0" applyFont="1" applyBorder="1"/>
    <xf numFmtId="0" fontId="3" fillId="0" borderId="16" xfId="0" applyFont="1" applyBorder="1"/>
    <xf numFmtId="0" fontId="28" fillId="20" borderId="25" xfId="0" applyFont="1" applyFill="1" applyBorder="1"/>
    <xf numFmtId="0" fontId="0" fillId="0" borderId="0" xfId="0" applyAlignment="1">
      <alignment horizontal="left" vertical="top"/>
    </xf>
    <xf numFmtId="164" fontId="4" fillId="0" borderId="13" xfId="0" applyNumberFormat="1" applyFont="1" applyBorder="1" applyAlignment="1">
      <alignment horizontal="right"/>
    </xf>
    <xf numFmtId="164" fontId="12" fillId="2" borderId="13" xfId="0" applyNumberFormat="1" applyFont="1" applyFill="1" applyBorder="1" applyAlignment="1">
      <alignment horizontal="left" vertical="center"/>
    </xf>
    <xf numFmtId="165" fontId="5" fillId="3" borderId="3" xfId="0" applyNumberFormat="1" applyFont="1" applyFill="1" applyBorder="1" applyAlignment="1">
      <alignment horizontal="left" vertical="center"/>
    </xf>
    <xf numFmtId="165" fontId="5" fillId="3" borderId="15" xfId="0" applyNumberFormat="1" applyFont="1" applyFill="1" applyBorder="1"/>
    <xf numFmtId="164" fontId="5" fillId="3" borderId="15" xfId="0" applyNumberFormat="1" applyFont="1" applyFill="1" applyBorder="1"/>
    <xf numFmtId="164" fontId="3" fillId="3" borderId="15" xfId="0" applyNumberFormat="1" applyFont="1" applyFill="1" applyBorder="1" applyAlignment="1">
      <alignment horizontal="right" vertical="center"/>
    </xf>
    <xf numFmtId="164" fontId="29" fillId="6" borderId="13" xfId="0" applyNumberFormat="1" applyFont="1" applyFill="1" applyBorder="1"/>
    <xf numFmtId="164" fontId="30" fillId="6" borderId="13" xfId="0" applyNumberFormat="1" applyFont="1" applyFill="1" applyBorder="1" applyAlignment="1">
      <alignment horizontal="right" vertical="center"/>
    </xf>
    <xf numFmtId="164" fontId="30" fillId="10" borderId="13" xfId="0" applyNumberFormat="1" applyFont="1" applyFill="1" applyBorder="1"/>
    <xf numFmtId="164" fontId="30" fillId="10" borderId="13" xfId="1" applyFont="1" applyFill="1" applyBorder="1"/>
    <xf numFmtId="164" fontId="18" fillId="7" borderId="3" xfId="0" applyNumberFormat="1" applyFont="1" applyFill="1" applyBorder="1" applyAlignment="1">
      <alignment horizontal="right" vertical="center"/>
    </xf>
    <xf numFmtId="166" fontId="32" fillId="7" borderId="3" xfId="0" applyNumberFormat="1" applyFont="1" applyFill="1" applyBorder="1"/>
    <xf numFmtId="164" fontId="18" fillId="2" borderId="16" xfId="0" applyNumberFormat="1" applyFont="1" applyFill="1" applyBorder="1" applyAlignment="1">
      <alignment horizontal="right" vertical="center"/>
    </xf>
    <xf numFmtId="166" fontId="32" fillId="13" borderId="16" xfId="0" applyNumberFormat="1" applyFont="1" applyFill="1" applyBorder="1"/>
    <xf numFmtId="0" fontId="3" fillId="0" borderId="0" xfId="0" applyFont="1" applyAlignment="1">
      <alignment horizontal="left" vertical="top"/>
    </xf>
    <xf numFmtId="164" fontId="18" fillId="0" borderId="3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164" fontId="32" fillId="0" borderId="3" xfId="0" applyNumberFormat="1" applyFont="1" applyBorder="1" applyAlignment="1">
      <alignment horizontal="left" vertical="top"/>
    </xf>
    <xf numFmtId="164" fontId="4" fillId="2" borderId="0" xfId="0" applyNumberFormat="1" applyFont="1" applyFill="1" applyAlignment="1">
      <alignment horizontal="left" vertical="top"/>
    </xf>
    <xf numFmtId="0" fontId="18" fillId="3" borderId="3" xfId="0" applyFont="1" applyFill="1" applyBorder="1" applyAlignment="1">
      <alignment horizontal="left" vertical="top"/>
    </xf>
    <xf numFmtId="164" fontId="32" fillId="3" borderId="3" xfId="0" applyNumberFormat="1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164" fontId="5" fillId="3" borderId="3" xfId="0" applyNumberFormat="1" applyFont="1" applyFill="1" applyBorder="1" applyAlignment="1">
      <alignment horizontal="left" vertical="top"/>
    </xf>
    <xf numFmtId="0" fontId="33" fillId="0" borderId="0" xfId="0" applyFont="1"/>
    <xf numFmtId="0" fontId="34" fillId="0" borderId="0" xfId="0" applyFont="1"/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 wrapText="1"/>
    </xf>
    <xf numFmtId="0" fontId="5" fillId="18" borderId="15" xfId="0" applyFont="1" applyFill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/>
    </xf>
    <xf numFmtId="0" fontId="10" fillId="29" borderId="3" xfId="0" applyFont="1" applyFill="1" applyBorder="1" applyAlignment="1">
      <alignment horizontal="center"/>
    </xf>
    <xf numFmtId="170" fontId="10" fillId="30" borderId="3" xfId="0" applyNumberFormat="1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170" fontId="15" fillId="31" borderId="13" xfId="0" applyNumberFormat="1" applyFont="1" applyFill="1" applyBorder="1" applyAlignment="1">
      <alignment horizontal="center"/>
    </xf>
    <xf numFmtId="0" fontId="15" fillId="15" borderId="25" xfId="0" applyFont="1" applyFill="1" applyBorder="1" applyAlignment="1">
      <alignment horizontal="center"/>
    </xf>
    <xf numFmtId="0" fontId="15" fillId="33" borderId="25" xfId="0" applyFont="1" applyFill="1" applyBorder="1" applyAlignment="1">
      <alignment horizontal="center"/>
    </xf>
    <xf numFmtId="0" fontId="15" fillId="34" borderId="25" xfId="0" applyFont="1" applyFill="1" applyBorder="1" applyAlignment="1">
      <alignment horizontal="center"/>
    </xf>
    <xf numFmtId="0" fontId="15" fillId="35" borderId="25" xfId="0" applyFont="1" applyFill="1" applyBorder="1" applyAlignment="1">
      <alignment horizontal="center"/>
    </xf>
    <xf numFmtId="0" fontId="15" fillId="36" borderId="25" xfId="0" applyFont="1" applyFill="1" applyBorder="1" applyAlignment="1">
      <alignment horizontal="center"/>
    </xf>
    <xf numFmtId="0" fontId="15" fillId="37" borderId="3" xfId="0" applyFont="1" applyFill="1" applyBorder="1" applyAlignment="1">
      <alignment horizontal="center"/>
    </xf>
    <xf numFmtId="0" fontId="15" fillId="38" borderId="3" xfId="0" applyFont="1" applyFill="1" applyBorder="1" applyAlignment="1">
      <alignment horizontal="center"/>
    </xf>
    <xf numFmtId="0" fontId="15" fillId="38" borderId="1" xfId="0" applyFont="1" applyFill="1" applyBorder="1" applyAlignment="1">
      <alignment horizontal="center"/>
    </xf>
    <xf numFmtId="0" fontId="15" fillId="39" borderId="13" xfId="0" applyFont="1" applyFill="1" applyBorder="1" applyAlignment="1">
      <alignment horizontal="center" wrapText="1"/>
    </xf>
    <xf numFmtId="0" fontId="41" fillId="39" borderId="13" xfId="0" applyFont="1" applyFill="1" applyBorder="1" applyAlignment="1">
      <alignment horizontal="center" wrapText="1"/>
    </xf>
    <xf numFmtId="0" fontId="5" fillId="15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0" fontId="5" fillId="28" borderId="1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3" fillId="9" borderId="13" xfId="0" applyFont="1" applyFill="1" applyBorder="1" applyAlignment="1">
      <alignment horizontal="center" vertical="center" wrapText="1"/>
    </xf>
    <xf numFmtId="0" fontId="10" fillId="31" borderId="36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/>
    <xf numFmtId="0" fontId="10" fillId="29" borderId="15" xfId="0" applyFont="1" applyFill="1" applyBorder="1" applyAlignment="1">
      <alignment horizontal="center"/>
    </xf>
    <xf numFmtId="4" fontId="10" fillId="0" borderId="26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29" borderId="13" xfId="0" applyFont="1" applyFill="1" applyBorder="1" applyAlignment="1">
      <alignment horizontal="center"/>
    </xf>
    <xf numFmtId="4" fontId="10" fillId="0" borderId="28" xfId="0" applyNumberFormat="1" applyFont="1" applyBorder="1" applyAlignment="1">
      <alignment horizontal="center"/>
    </xf>
    <xf numFmtId="0" fontId="44" fillId="28" borderId="25" xfId="0" applyFont="1" applyFill="1" applyBorder="1" applyAlignment="1">
      <alignment horizontal="center"/>
    </xf>
    <xf numFmtId="0" fontId="0" fillId="0" borderId="28" xfId="0" applyBorder="1"/>
    <xf numFmtId="0" fontId="45" fillId="0" borderId="28" xfId="0" applyFont="1" applyBorder="1" applyAlignment="1">
      <alignment horizontal="center"/>
    </xf>
    <xf numFmtId="0" fontId="41" fillId="39" borderId="1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6" fillId="0" borderId="35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47" fillId="0" borderId="0" xfId="0" applyFont="1"/>
    <xf numFmtId="0" fontId="46" fillId="0" borderId="13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0" fontId="9" fillId="31" borderId="3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43" fillId="14" borderId="13" xfId="0" applyNumberFormat="1" applyFont="1" applyFill="1" applyBorder="1"/>
    <xf numFmtId="0" fontId="43" fillId="14" borderId="13" xfId="0" applyFont="1" applyFill="1" applyBorder="1"/>
    <xf numFmtId="0" fontId="43" fillId="14" borderId="13" xfId="0" applyFont="1" applyFill="1" applyBorder="1" applyAlignment="1">
      <alignment horizontal="center"/>
    </xf>
    <xf numFmtId="0" fontId="43" fillId="44" borderId="13" xfId="0" applyFont="1" applyFill="1" applyBorder="1" applyAlignment="1">
      <alignment horizontal="center"/>
    </xf>
    <xf numFmtId="0" fontId="10" fillId="14" borderId="13" xfId="0" applyFont="1" applyFill="1" applyBorder="1"/>
    <xf numFmtId="0" fontId="10" fillId="14" borderId="13" xfId="0" applyFont="1" applyFill="1" applyBorder="1" applyAlignment="1">
      <alignment horizontal="center"/>
    </xf>
    <xf numFmtId="0" fontId="48" fillId="0" borderId="0" xfId="0" applyFont="1"/>
    <xf numFmtId="0" fontId="15" fillId="0" borderId="1" xfId="0" applyFont="1" applyBorder="1" applyAlignment="1">
      <alignment horizontal="center" wrapText="1"/>
    </xf>
    <xf numFmtId="0" fontId="49" fillId="18" borderId="33" xfId="0" applyFont="1" applyFill="1" applyBorder="1" applyAlignment="1">
      <alignment horizontal="center" vertical="center"/>
    </xf>
    <xf numFmtId="0" fontId="49" fillId="18" borderId="20" xfId="0" applyFont="1" applyFill="1" applyBorder="1" applyAlignment="1">
      <alignment horizontal="center" vertical="center"/>
    </xf>
    <xf numFmtId="0" fontId="49" fillId="18" borderId="34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/>
    </xf>
    <xf numFmtId="0" fontId="48" fillId="0" borderId="14" xfId="0" applyFont="1" applyBorder="1"/>
    <xf numFmtId="0" fontId="48" fillId="0" borderId="4" xfId="0" applyFont="1" applyBorder="1"/>
    <xf numFmtId="0" fontId="11" fillId="18" borderId="37" xfId="0" applyFont="1" applyFill="1" applyBorder="1" applyAlignment="1">
      <alignment horizontal="center" wrapText="1"/>
    </xf>
    <xf numFmtId="0" fontId="11" fillId="18" borderId="33" xfId="0" applyFont="1" applyFill="1" applyBorder="1" applyAlignment="1">
      <alignment horizontal="center" wrapText="1"/>
    </xf>
    <xf numFmtId="0" fontId="48" fillId="0" borderId="34" xfId="0" applyFont="1" applyBorder="1"/>
    <xf numFmtId="168" fontId="5" fillId="0" borderId="1" xfId="0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10" fillId="44" borderId="13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11" fillId="28" borderId="1" xfId="0" applyFont="1" applyFill="1" applyBorder="1" applyAlignment="1">
      <alignment horizontal="center"/>
    </xf>
    <xf numFmtId="0" fontId="10" fillId="20" borderId="13" xfId="0" applyFont="1" applyFill="1" applyBorder="1" applyAlignment="1">
      <alignment horizontal="center"/>
    </xf>
    <xf numFmtId="0" fontId="42" fillId="14" borderId="13" xfId="0" applyFont="1" applyFill="1" applyBorder="1" applyAlignment="1">
      <alignment horizontal="center"/>
    </xf>
    <xf numFmtId="0" fontId="11" fillId="46" borderId="1" xfId="0" applyFont="1" applyFill="1" applyBorder="1" applyAlignment="1">
      <alignment horizontal="center"/>
    </xf>
    <xf numFmtId="169" fontId="5" fillId="16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13" xfId="0" applyFont="1" applyBorder="1"/>
    <xf numFmtId="0" fontId="51" fillId="0" borderId="0" xfId="0" applyFont="1"/>
    <xf numFmtId="4" fontId="51" fillId="0" borderId="0" xfId="0" applyNumberFormat="1" applyFont="1"/>
    <xf numFmtId="0" fontId="11" fillId="14" borderId="13" xfId="0" applyFont="1" applyFill="1" applyBorder="1"/>
    <xf numFmtId="0" fontId="11" fillId="49" borderId="1" xfId="0" applyFont="1" applyFill="1" applyBorder="1" applyAlignment="1">
      <alignment horizontal="center"/>
    </xf>
    <xf numFmtId="0" fontId="11" fillId="18" borderId="33" xfId="0" applyFont="1" applyFill="1" applyBorder="1" applyAlignment="1">
      <alignment horizontal="center"/>
    </xf>
    <xf numFmtId="0" fontId="11" fillId="50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51" borderId="1" xfId="0" applyFont="1" applyFill="1" applyBorder="1" applyAlignment="1">
      <alignment horizontal="center"/>
    </xf>
    <xf numFmtId="0" fontId="52" fillId="21" borderId="26" xfId="0" applyFont="1" applyFill="1" applyBorder="1" applyAlignment="1">
      <alignment horizontal="center"/>
    </xf>
    <xf numFmtId="0" fontId="48" fillId="0" borderId="27" xfId="0" applyFont="1" applyBorder="1"/>
    <xf numFmtId="0" fontId="48" fillId="0" borderId="32" xfId="0" applyFont="1" applyBorder="1"/>
    <xf numFmtId="169" fontId="11" fillId="0" borderId="26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20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8" fillId="0" borderId="33" xfId="0" applyFont="1" applyBorder="1"/>
    <xf numFmtId="0" fontId="48" fillId="0" borderId="20" xfId="0" applyFont="1" applyBorder="1"/>
    <xf numFmtId="0" fontId="11" fillId="16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 wrapText="1"/>
    </xf>
    <xf numFmtId="0" fontId="52" fillId="21" borderId="1" xfId="0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10" fillId="0" borderId="0" xfId="0" applyFont="1"/>
    <xf numFmtId="0" fontId="53" fillId="0" borderId="43" xfId="0" applyFont="1" applyBorder="1" applyAlignment="1">
      <alignment horizontal="center" vertical="top" wrapText="1"/>
    </xf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10" fillId="16" borderId="1" xfId="0" applyFont="1" applyFill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170" fontId="15" fillId="16" borderId="1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0" fillId="9" borderId="13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57" fillId="39" borderId="13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wrapText="1"/>
    </xf>
    <xf numFmtId="0" fontId="15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50" fillId="18" borderId="3" xfId="0" applyFont="1" applyFill="1" applyBorder="1" applyAlignment="1">
      <alignment horizontal="center" vertical="center"/>
    </xf>
    <xf numFmtId="0" fontId="50" fillId="18" borderId="3" xfId="0" applyFont="1" applyFill="1" applyBorder="1" applyAlignment="1">
      <alignment horizontal="center" vertical="center" wrapText="1"/>
    </xf>
    <xf numFmtId="0" fontId="50" fillId="18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0" fontId="28" fillId="30" borderId="15" xfId="0" applyNumberFormat="1" applyFont="1" applyFill="1" applyBorder="1" applyAlignment="1">
      <alignment horizontal="center" vertical="center"/>
    </xf>
    <xf numFmtId="4" fontId="28" fillId="0" borderId="26" xfId="0" applyNumberFormat="1" applyFont="1" applyBorder="1" applyAlignment="1">
      <alignment horizontal="center" vertical="center"/>
    </xf>
    <xf numFmtId="170" fontId="28" fillId="31" borderId="13" xfId="0" applyNumberFormat="1" applyFont="1" applyFill="1" applyBorder="1" applyAlignment="1">
      <alignment horizontal="center" vertical="center"/>
    </xf>
    <xf numFmtId="170" fontId="28" fillId="30" borderId="13" xfId="0" applyNumberFormat="1" applyFont="1" applyFill="1" applyBorder="1" applyAlignment="1">
      <alignment horizontal="center" vertical="center"/>
    </xf>
    <xf numFmtId="4" fontId="28" fillId="0" borderId="28" xfId="0" applyNumberFormat="1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3" fillId="42" borderId="13" xfId="0" applyFont="1" applyFill="1" applyBorder="1" applyAlignment="1">
      <alignment horizontal="center"/>
    </xf>
    <xf numFmtId="164" fontId="18" fillId="53" borderId="18" xfId="0" applyNumberFormat="1" applyFont="1" applyFill="1" applyBorder="1" applyAlignment="1">
      <alignment horizontal="center" vertical="center"/>
    </xf>
    <xf numFmtId="164" fontId="18" fillId="53" borderId="19" xfId="0" applyNumberFormat="1" applyFont="1" applyFill="1" applyBorder="1" applyAlignment="1">
      <alignment horizontal="center" vertical="center"/>
    </xf>
    <xf numFmtId="0" fontId="15" fillId="54" borderId="25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167" fontId="5" fillId="14" borderId="13" xfId="0" applyNumberFormat="1" applyFont="1" applyFill="1" applyBorder="1" applyAlignment="1">
      <alignment horizontal="center"/>
    </xf>
    <xf numFmtId="166" fontId="5" fillId="14" borderId="13" xfId="0" applyNumberFormat="1" applyFont="1" applyFill="1" applyBorder="1" applyAlignment="1">
      <alignment horizontal="center"/>
    </xf>
    <xf numFmtId="0" fontId="54" fillId="52" borderId="14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15" fillId="15" borderId="1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40" fillId="32" borderId="0" xfId="0" applyFont="1" applyFill="1" applyAlignment="1">
      <alignment horizontal="center" wrapText="1"/>
    </xf>
    <xf numFmtId="0" fontId="40" fillId="32" borderId="20" xfId="0" applyFont="1" applyFill="1" applyBorder="1" applyAlignment="1">
      <alignment horizontal="center" wrapText="1"/>
    </xf>
    <xf numFmtId="0" fontId="50" fillId="41" borderId="28" xfId="0" applyFont="1" applyFill="1" applyBorder="1" applyAlignment="1">
      <alignment horizontal="center" vertical="center"/>
    </xf>
    <xf numFmtId="0" fontId="50" fillId="41" borderId="41" xfId="0" applyFont="1" applyFill="1" applyBorder="1" applyAlignment="1">
      <alignment horizontal="center" vertical="center"/>
    </xf>
    <xf numFmtId="0" fontId="50" fillId="41" borderId="29" xfId="0" applyFont="1" applyFill="1" applyBorder="1" applyAlignment="1">
      <alignment horizontal="center" vertical="center"/>
    </xf>
    <xf numFmtId="2" fontId="30" fillId="0" borderId="28" xfId="0" applyNumberFormat="1" applyFont="1" applyBorder="1" applyAlignment="1">
      <alignment horizontal="center" vertical="center"/>
    </xf>
    <xf numFmtId="2" fontId="30" fillId="0" borderId="29" xfId="0" applyNumberFormat="1" applyFont="1" applyBorder="1" applyAlignment="1">
      <alignment horizontal="center" vertical="center"/>
    </xf>
    <xf numFmtId="0" fontId="51" fillId="0" borderId="13" xfId="0" applyFont="1" applyBorder="1" applyAlignment="1">
      <alignment horizontal="center"/>
    </xf>
    <xf numFmtId="166" fontId="51" fillId="0" borderId="13" xfId="0" applyNumberFormat="1" applyFont="1" applyBorder="1" applyAlignment="1">
      <alignment horizontal="center"/>
    </xf>
    <xf numFmtId="166" fontId="51" fillId="0" borderId="28" xfId="0" applyNumberFormat="1" applyFont="1" applyBorder="1" applyAlignment="1">
      <alignment horizontal="center"/>
    </xf>
    <xf numFmtId="4" fontId="51" fillId="0" borderId="13" xfId="0" applyNumberFormat="1" applyFont="1" applyBorder="1" applyAlignment="1">
      <alignment horizontal="center"/>
    </xf>
    <xf numFmtId="0" fontId="51" fillId="0" borderId="0" xfId="0" applyFont="1" applyAlignment="1">
      <alignment horizontal="center"/>
    </xf>
    <xf numFmtId="4" fontId="51" fillId="14" borderId="13" xfId="0" applyNumberFormat="1" applyFont="1" applyFill="1" applyBorder="1" applyAlignment="1">
      <alignment horizontal="center"/>
    </xf>
    <xf numFmtId="0" fontId="9" fillId="21" borderId="0" xfId="0" applyFont="1" applyFill="1" applyAlignment="1">
      <alignment horizontal="center"/>
    </xf>
    <xf numFmtId="0" fontId="9" fillId="21" borderId="42" xfId="0" applyFont="1" applyFill="1" applyBorder="1" applyAlignment="1">
      <alignment horizontal="center"/>
    </xf>
    <xf numFmtId="0" fontId="51" fillId="48" borderId="30" xfId="0" applyFont="1" applyFill="1" applyBorder="1" applyAlignment="1">
      <alignment horizontal="center"/>
    </xf>
    <xf numFmtId="0" fontId="51" fillId="48" borderId="31" xfId="0" applyFont="1" applyFill="1" applyBorder="1" applyAlignment="1">
      <alignment horizontal="center"/>
    </xf>
    <xf numFmtId="0" fontId="51" fillId="48" borderId="7" xfId="0" applyFont="1" applyFill="1" applyBorder="1" applyAlignment="1">
      <alignment horizontal="center"/>
    </xf>
    <xf numFmtId="0" fontId="51" fillId="0" borderId="36" xfId="0" applyFont="1" applyBorder="1" applyAlignment="1">
      <alignment horizontal="center"/>
    </xf>
    <xf numFmtId="171" fontId="51" fillId="0" borderId="36" xfId="0" applyNumberFormat="1" applyFont="1" applyBorder="1" applyAlignment="1">
      <alignment horizontal="center"/>
    </xf>
    <xf numFmtId="4" fontId="51" fillId="0" borderId="36" xfId="0" applyNumberFormat="1" applyFont="1" applyBorder="1" applyAlignment="1">
      <alignment horizontal="center"/>
    </xf>
    <xf numFmtId="167" fontId="51" fillId="0" borderId="28" xfId="0" applyNumberFormat="1" applyFont="1" applyBorder="1" applyAlignment="1">
      <alignment horizontal="center"/>
    </xf>
    <xf numFmtId="167" fontId="51" fillId="0" borderId="41" xfId="0" applyNumberFormat="1" applyFont="1" applyBorder="1" applyAlignment="1">
      <alignment horizontal="center"/>
    </xf>
    <xf numFmtId="167" fontId="51" fillId="0" borderId="29" xfId="0" applyNumberFormat="1" applyFont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6" borderId="32" xfId="0" applyFont="1" applyFill="1" applyBorder="1" applyAlignment="1">
      <alignment horizontal="center"/>
    </xf>
    <xf numFmtId="169" fontId="5" fillId="16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8" fillId="0" borderId="4" xfId="0" applyFont="1" applyBorder="1"/>
    <xf numFmtId="0" fontId="34" fillId="43" borderId="13" xfId="0" applyFont="1" applyFill="1" applyBorder="1" applyAlignment="1">
      <alignment horizontal="center"/>
    </xf>
    <xf numFmtId="169" fontId="5" fillId="16" borderId="14" xfId="0" applyNumberFormat="1" applyFont="1" applyFill="1" applyBorder="1" applyAlignment="1">
      <alignment horizontal="center"/>
    </xf>
    <xf numFmtId="169" fontId="5" fillId="47" borderId="1" xfId="0" applyNumberFormat="1" applyFont="1" applyFill="1" applyBorder="1" applyAlignment="1">
      <alignment horizontal="center"/>
    </xf>
    <xf numFmtId="0" fontId="2" fillId="14" borderId="4" xfId="0" applyFont="1" applyFill="1" applyBorder="1"/>
    <xf numFmtId="0" fontId="11" fillId="41" borderId="1" xfId="0" applyFont="1" applyFill="1" applyBorder="1" applyAlignment="1">
      <alignment horizontal="center"/>
    </xf>
    <xf numFmtId="0" fontId="48" fillId="9" borderId="14" xfId="0" applyFont="1" applyFill="1" applyBorder="1"/>
    <xf numFmtId="0" fontId="11" fillId="0" borderId="20" xfId="0" applyFont="1" applyBorder="1" applyAlignment="1">
      <alignment horizontal="center"/>
    </xf>
    <xf numFmtId="0" fontId="48" fillId="0" borderId="34" xfId="0" applyFont="1" applyBorder="1"/>
    <xf numFmtId="0" fontId="15" fillId="0" borderId="1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50" fillId="40" borderId="38" xfId="0" applyFont="1" applyFill="1" applyBorder="1" applyAlignment="1">
      <alignment horizontal="center" vertical="center"/>
    </xf>
    <xf numFmtId="0" fontId="50" fillId="40" borderId="39" xfId="0" applyFont="1" applyFill="1" applyBorder="1" applyAlignment="1">
      <alignment horizontal="center" vertical="center"/>
    </xf>
    <xf numFmtId="0" fontId="50" fillId="40" borderId="40" xfId="0" applyFont="1" applyFill="1" applyBorder="1" applyAlignment="1">
      <alignment horizontal="center" vertical="center"/>
    </xf>
    <xf numFmtId="2" fontId="30" fillId="0" borderId="38" xfId="0" applyNumberFormat="1" applyFont="1" applyBorder="1" applyAlignment="1">
      <alignment horizontal="center" vertical="center"/>
    </xf>
    <xf numFmtId="2" fontId="30" fillId="0" borderId="40" xfId="0" applyNumberFormat="1" applyFont="1" applyBorder="1" applyAlignment="1">
      <alignment horizontal="center" vertical="center"/>
    </xf>
    <xf numFmtId="0" fontId="11" fillId="40" borderId="1" xfId="0" applyFont="1" applyFill="1" applyBorder="1" applyAlignment="1">
      <alignment horizontal="center"/>
    </xf>
    <xf numFmtId="0" fontId="50" fillId="28" borderId="1" xfId="0" applyFont="1" applyFill="1" applyBorder="1" applyAlignment="1">
      <alignment horizontal="center" vertical="center"/>
    </xf>
    <xf numFmtId="0" fontId="50" fillId="28" borderId="14" xfId="0" applyFont="1" applyFill="1" applyBorder="1" applyAlignment="1">
      <alignment horizontal="center" vertical="center"/>
    </xf>
    <xf numFmtId="0" fontId="50" fillId="28" borderId="4" xfId="0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>
      <alignment horizontal="center" vertical="center"/>
    </xf>
    <xf numFmtId="0" fontId="11" fillId="28" borderId="1" xfId="0" applyFont="1" applyFill="1" applyBorder="1" applyAlignment="1">
      <alignment horizontal="center"/>
    </xf>
    <xf numFmtId="0" fontId="48" fillId="0" borderId="14" xfId="0" applyFont="1" applyBorder="1"/>
    <xf numFmtId="0" fontId="15" fillId="0" borderId="1" xfId="0" applyFont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168" fontId="5" fillId="0" borderId="1" xfId="0" applyNumberFormat="1" applyFont="1" applyBorder="1" applyAlignment="1">
      <alignment horizontal="center"/>
    </xf>
    <xf numFmtId="0" fontId="50" fillId="15" borderId="1" xfId="0" applyFont="1" applyFill="1" applyBorder="1" applyAlignment="1">
      <alignment horizontal="center" vertical="center"/>
    </xf>
    <xf numFmtId="0" fontId="50" fillId="15" borderId="14" xfId="0" applyFont="1" applyFill="1" applyBorder="1" applyAlignment="1">
      <alignment horizontal="center" vertical="center"/>
    </xf>
    <xf numFmtId="0" fontId="50" fillId="15" borderId="4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/>
    </xf>
    <xf numFmtId="0" fontId="49" fillId="18" borderId="51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9" fillId="18" borderId="33" xfId="0" applyFont="1" applyFill="1" applyBorder="1" applyAlignment="1">
      <alignment horizontal="center" vertical="center" wrapText="1"/>
    </xf>
    <xf numFmtId="0" fontId="49" fillId="18" borderId="34" xfId="0" applyFont="1" applyFill="1" applyBorder="1" applyAlignment="1">
      <alignment horizontal="center" vertical="center" wrapText="1"/>
    </xf>
    <xf numFmtId="0" fontId="49" fillId="18" borderId="33" xfId="0" applyFont="1" applyFill="1" applyBorder="1" applyAlignment="1">
      <alignment horizontal="center" vertical="center"/>
    </xf>
    <xf numFmtId="0" fontId="49" fillId="18" borderId="34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/>
    </xf>
    <xf numFmtId="0" fontId="11" fillId="18" borderId="37" xfId="0" applyFont="1" applyFill="1" applyBorder="1" applyAlignment="1">
      <alignment horizontal="center" wrapText="1"/>
    </xf>
    <xf numFmtId="0" fontId="48" fillId="0" borderId="0" xfId="0" applyFont="1"/>
    <xf numFmtId="0" fontId="11" fillId="18" borderId="33" xfId="0" applyFont="1" applyFill="1" applyBorder="1" applyAlignment="1">
      <alignment horizontal="center" wrapText="1"/>
    </xf>
    <xf numFmtId="0" fontId="39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11" fillId="18" borderId="13" xfId="0" applyFont="1" applyFill="1" applyBorder="1" applyAlignment="1">
      <alignment horizontal="center"/>
    </xf>
    <xf numFmtId="0" fontId="48" fillId="0" borderId="13" xfId="0" applyFont="1" applyBorder="1"/>
    <xf numFmtId="0" fontId="25" fillId="39" borderId="13" xfId="0" applyFont="1" applyFill="1" applyBorder="1" applyAlignment="1">
      <alignment horizontal="center" wrapText="1"/>
    </xf>
    <xf numFmtId="0" fontId="40" fillId="43" borderId="21" xfId="0" applyFont="1" applyFill="1" applyBorder="1" applyAlignment="1">
      <alignment horizontal="center"/>
    </xf>
    <xf numFmtId="0" fontId="40" fillId="43" borderId="22" xfId="0" applyFont="1" applyFill="1" applyBorder="1" applyAlignment="1">
      <alignment horizontal="center"/>
    </xf>
    <xf numFmtId="0" fontId="40" fillId="43" borderId="23" xfId="0" applyFont="1" applyFill="1" applyBorder="1" applyAlignment="1">
      <alignment horizontal="center"/>
    </xf>
    <xf numFmtId="0" fontId="28" fillId="45" borderId="30" xfId="0" applyFont="1" applyFill="1" applyBorder="1" applyAlignment="1">
      <alignment horizontal="center" vertical="center"/>
    </xf>
    <xf numFmtId="0" fontId="28" fillId="45" borderId="31" xfId="0" applyFont="1" applyFill="1" applyBorder="1" applyAlignment="1">
      <alignment horizontal="center" vertical="center"/>
    </xf>
    <xf numFmtId="0" fontId="28" fillId="4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center" vertical="center"/>
    </xf>
    <xf numFmtId="0" fontId="28" fillId="15" borderId="27" xfId="0" applyFont="1" applyFill="1" applyBorder="1" applyAlignment="1">
      <alignment horizontal="center" vertical="center"/>
    </xf>
    <xf numFmtId="0" fontId="28" fillId="15" borderId="32" xfId="0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0" fontId="37" fillId="28" borderId="1" xfId="0" applyFont="1" applyFill="1" applyBorder="1" applyAlignment="1">
      <alignment horizontal="center"/>
    </xf>
    <xf numFmtId="14" fontId="35" fillId="0" borderId="14" xfId="0" applyNumberFormat="1" applyFont="1" applyBorder="1" applyAlignment="1">
      <alignment horizontal="center" vertical="center"/>
    </xf>
    <xf numFmtId="0" fontId="36" fillId="26" borderId="26" xfId="0" applyFont="1" applyFill="1" applyBorder="1" applyAlignment="1">
      <alignment horizontal="center" vertical="center"/>
    </xf>
    <xf numFmtId="0" fontId="2" fillId="0" borderId="32" xfId="0" applyFont="1" applyBorder="1"/>
    <xf numFmtId="0" fontId="5" fillId="27" borderId="1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0" fontId="0" fillId="0" borderId="29" xfId="0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 wrapText="1"/>
    </xf>
    <xf numFmtId="169" fontId="5" fillId="0" borderId="33" xfId="0" applyNumberFormat="1" applyFont="1" applyBorder="1" applyAlignment="1">
      <alignment horizontal="center" vertical="center"/>
    </xf>
    <xf numFmtId="0" fontId="2" fillId="0" borderId="34" xfId="0" applyFont="1" applyBorder="1"/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164" fontId="1" fillId="25" borderId="28" xfId="0" applyNumberFormat="1" applyFont="1" applyFill="1" applyBorder="1" applyAlignment="1">
      <alignment horizontal="center" vertical="center"/>
    </xf>
    <xf numFmtId="164" fontId="1" fillId="25" borderId="29" xfId="0" applyNumberFormat="1" applyFont="1" applyFill="1" applyBorder="1" applyAlignment="1">
      <alignment horizontal="center" vertical="center"/>
    </xf>
    <xf numFmtId="164" fontId="31" fillId="0" borderId="30" xfId="0" applyNumberFormat="1" applyFont="1" applyBorder="1" applyAlignment="1">
      <alignment horizontal="center" vertical="center"/>
    </xf>
    <xf numFmtId="164" fontId="31" fillId="0" borderId="31" xfId="0" applyNumberFormat="1" applyFont="1" applyBorder="1" applyAlignment="1">
      <alignment horizontal="center" vertical="center"/>
    </xf>
    <xf numFmtId="164" fontId="31" fillId="0" borderId="7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4" fontId="51" fillId="0" borderId="0" xfId="0" applyNumberFormat="1" applyFont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169" fontId="11" fillId="0" borderId="33" xfId="0" applyNumberFormat="1" applyFont="1" applyBorder="1" applyAlignment="1">
      <alignment horizontal="center" vertical="center"/>
    </xf>
    <xf numFmtId="0" fontId="55" fillId="0" borderId="34" xfId="0" applyFont="1" applyBorder="1"/>
    <xf numFmtId="164" fontId="31" fillId="0" borderId="30" xfId="0" applyNumberFormat="1" applyFont="1" applyBorder="1" applyAlignment="1">
      <alignment horizontal="center"/>
    </xf>
    <xf numFmtId="164" fontId="31" fillId="0" borderId="31" xfId="0" applyNumberFormat="1" applyFont="1" applyBorder="1" applyAlignment="1">
      <alignment horizontal="center"/>
    </xf>
    <xf numFmtId="164" fontId="31" fillId="0" borderId="7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48" fillId="0" borderId="4" xfId="0" applyNumberFormat="1" applyFont="1" applyBorder="1"/>
    <xf numFmtId="0" fontId="51" fillId="48" borderId="22" xfId="0" applyFont="1" applyFill="1" applyBorder="1" applyAlignment="1">
      <alignment horizontal="center"/>
    </xf>
    <xf numFmtId="0" fontId="51" fillId="48" borderId="23" xfId="0" applyFont="1" applyFill="1" applyBorder="1" applyAlignment="1">
      <alignment horizontal="center"/>
    </xf>
    <xf numFmtId="166" fontId="5" fillId="47" borderId="13" xfId="0" applyNumberFormat="1" applyFont="1" applyFill="1" applyBorder="1" applyAlignment="1">
      <alignment horizontal="center" vertical="center" wrapText="1"/>
    </xf>
    <xf numFmtId="166" fontId="2" fillId="14" borderId="13" xfId="0" applyNumberFormat="1" applyFont="1" applyFill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167" fontId="51" fillId="0" borderId="36" xfId="0" applyNumberFormat="1" applyFont="1" applyBorder="1" applyAlignment="1">
      <alignment horizontal="center"/>
    </xf>
    <xf numFmtId="166" fontId="11" fillId="0" borderId="20" xfId="0" applyNumberFormat="1" applyFont="1" applyBorder="1" applyAlignment="1">
      <alignment horizontal="center"/>
    </xf>
    <xf numFmtId="166" fontId="48" fillId="0" borderId="34" xfId="0" applyNumberFormat="1" applyFont="1" applyBorder="1"/>
    <xf numFmtId="0" fontId="28" fillId="45" borderId="30" xfId="0" applyFont="1" applyFill="1" applyBorder="1" applyAlignment="1">
      <alignment horizontal="center"/>
    </xf>
    <xf numFmtId="0" fontId="28" fillId="45" borderId="31" xfId="0" applyFont="1" applyFill="1" applyBorder="1" applyAlignment="1">
      <alignment horizontal="center"/>
    </xf>
    <xf numFmtId="0" fontId="28" fillId="45" borderId="7" xfId="0" applyFont="1" applyFill="1" applyBorder="1" applyAlignment="1">
      <alignment horizontal="center"/>
    </xf>
    <xf numFmtId="0" fontId="28" fillId="15" borderId="1" xfId="0" applyFont="1" applyFill="1" applyBorder="1" applyAlignment="1">
      <alignment horizontal="center"/>
    </xf>
    <xf numFmtId="0" fontId="28" fillId="15" borderId="14" xfId="0" applyFont="1" applyFill="1" applyBorder="1" applyAlignment="1">
      <alignment horizontal="center"/>
    </xf>
    <xf numFmtId="0" fontId="28" fillId="15" borderId="4" xfId="0" applyFont="1" applyFill="1" applyBorder="1" applyAlignment="1">
      <alignment horizontal="center"/>
    </xf>
    <xf numFmtId="0" fontId="28" fillId="15" borderId="27" xfId="0" applyFont="1" applyFill="1" applyBorder="1" applyAlignment="1">
      <alignment horizontal="center"/>
    </xf>
    <xf numFmtId="0" fontId="28" fillId="15" borderId="32" xfId="0" applyFont="1" applyFill="1" applyBorder="1" applyAlignment="1">
      <alignment horizontal="center"/>
    </xf>
    <xf numFmtId="14" fontId="35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2" fontId="30" fillId="9" borderId="28" xfId="0" applyNumberFormat="1" applyFont="1" applyFill="1" applyBorder="1" applyAlignment="1">
      <alignment horizontal="center" vertical="center"/>
    </xf>
    <xf numFmtId="2" fontId="30" fillId="9" borderId="29" xfId="0" applyNumberFormat="1" applyFont="1" applyFill="1" applyBorder="1" applyAlignment="1">
      <alignment horizontal="center" vertical="center"/>
    </xf>
    <xf numFmtId="0" fontId="56" fillId="0" borderId="30" xfId="0" applyFont="1" applyBorder="1" applyAlignment="1">
      <alignment horizontal="center"/>
    </xf>
    <xf numFmtId="0" fontId="56" fillId="0" borderId="31" xfId="0" applyFont="1" applyBorder="1" applyAlignment="1">
      <alignment horizontal="center"/>
    </xf>
    <xf numFmtId="0" fontId="56" fillId="0" borderId="7" xfId="0" applyFont="1" applyBorder="1" applyAlignment="1">
      <alignment horizontal="center"/>
    </xf>
    <xf numFmtId="2" fontId="30" fillId="9" borderId="38" xfId="0" applyNumberFormat="1" applyFont="1" applyFill="1" applyBorder="1" applyAlignment="1">
      <alignment horizontal="center" vertical="center"/>
    </xf>
    <xf numFmtId="2" fontId="30" fillId="9" borderId="4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5" fillId="8" borderId="1" xfId="0" applyFont="1" applyFill="1" applyBorder="1" applyAlignment="1">
      <alignment horizontal="center" wrapText="1"/>
    </xf>
    <xf numFmtId="0" fontId="15" fillId="8" borderId="14" xfId="0" applyFont="1" applyFill="1" applyBorder="1" applyAlignment="1">
      <alignment horizontal="center" wrapText="1"/>
    </xf>
    <xf numFmtId="0" fontId="15" fillId="8" borderId="4" xfId="0" applyFont="1" applyFill="1" applyBorder="1" applyAlignment="1">
      <alignment horizontal="center" wrapText="1"/>
    </xf>
    <xf numFmtId="0" fontId="15" fillId="8" borderId="1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172" fontId="51" fillId="0" borderId="28" xfId="0" applyNumberFormat="1" applyFont="1" applyBorder="1" applyAlignment="1">
      <alignment horizontal="center"/>
    </xf>
    <xf numFmtId="172" fontId="51" fillId="0" borderId="41" xfId="0" applyNumberFormat="1" applyFont="1" applyBorder="1" applyAlignment="1">
      <alignment horizontal="center"/>
    </xf>
    <xf numFmtId="172" fontId="51" fillId="0" borderId="29" xfId="0" applyNumberFormat="1" applyFont="1" applyBorder="1" applyAlignment="1">
      <alignment horizontal="center"/>
    </xf>
    <xf numFmtId="0" fontId="49" fillId="0" borderId="21" xfId="0" applyFont="1" applyBorder="1" applyAlignment="1">
      <alignment horizontal="left" vertical="top" wrapText="1"/>
    </xf>
    <xf numFmtId="0" fontId="49" fillId="0" borderId="22" xfId="0" applyFont="1" applyBorder="1" applyAlignment="1">
      <alignment horizontal="left" vertical="top" wrapText="1"/>
    </xf>
    <xf numFmtId="0" fontId="49" fillId="0" borderId="23" xfId="0" applyFont="1" applyBorder="1" applyAlignment="1">
      <alignment horizontal="left" vertical="top" wrapText="1"/>
    </xf>
    <xf numFmtId="0" fontId="49" fillId="0" borderId="8" xfId="0" applyFont="1" applyBorder="1" applyAlignment="1">
      <alignment horizontal="left" vertical="top" wrapText="1"/>
    </xf>
    <xf numFmtId="0" fontId="49" fillId="0" borderId="0" xfId="0" applyFont="1" applyAlignment="1">
      <alignment horizontal="left" vertical="top" wrapText="1"/>
    </xf>
    <xf numFmtId="0" fontId="49" fillId="0" borderId="9" xfId="0" applyFont="1" applyBorder="1" applyAlignment="1">
      <alignment horizontal="left" vertical="top" wrapText="1"/>
    </xf>
    <xf numFmtId="0" fontId="49" fillId="0" borderId="10" xfId="0" applyFont="1" applyBorder="1" applyAlignment="1">
      <alignment horizontal="left" vertical="top" wrapText="1"/>
    </xf>
    <xf numFmtId="0" fontId="49" fillId="0" borderId="11" xfId="0" applyFont="1" applyBorder="1" applyAlignment="1">
      <alignment horizontal="left" vertical="top" wrapText="1"/>
    </xf>
    <xf numFmtId="0" fontId="49" fillId="0" borderId="12" xfId="0" applyFont="1" applyBorder="1" applyAlignment="1">
      <alignment horizontal="left" vertical="top" wrapText="1"/>
    </xf>
    <xf numFmtId="0" fontId="39" fillId="0" borderId="30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11" fillId="46" borderId="1" xfId="0" applyFont="1" applyFill="1" applyBorder="1" applyAlignment="1">
      <alignment horizontal="center"/>
    </xf>
    <xf numFmtId="0" fontId="26" fillId="22" borderId="1" xfId="0" applyFont="1" applyFill="1" applyBorder="1" applyAlignment="1">
      <alignment horizontal="center"/>
    </xf>
    <xf numFmtId="2" fontId="28" fillId="20" borderId="26" xfId="0" applyNumberFormat="1" applyFont="1" applyFill="1" applyBorder="1" applyAlignment="1">
      <alignment horizontal="center"/>
    </xf>
    <xf numFmtId="0" fontId="2" fillId="0" borderId="27" xfId="0" applyFont="1" applyBorder="1"/>
    <xf numFmtId="2" fontId="15" fillId="17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0" fillId="39" borderId="13" xfId="0" applyFont="1" applyFill="1" applyBorder="1" applyAlignment="1">
      <alignment horizontal="center" wrapText="1"/>
    </xf>
    <xf numFmtId="170" fontId="30" fillId="31" borderId="13" xfId="0" applyNumberFormat="1" applyFont="1" applyFill="1" applyBorder="1" applyAlignment="1">
      <alignment horizontal="center" vertical="center"/>
    </xf>
    <xf numFmtId="170" fontId="41" fillId="14" borderId="13" xfId="0" applyNumberFormat="1" applyFont="1" applyFill="1" applyBorder="1"/>
  </cellXfs>
  <cellStyles count="2">
    <cellStyle name="Millares" xfId="1" builtinId="3"/>
    <cellStyle name="Normal" xfId="0" builtinId="0"/>
  </cellStyles>
  <dxfs count="36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5"/>
          <bgColor theme="5"/>
        </patternFill>
      </fill>
    </dxf>
  </dxfs>
  <tableStyles count="12">
    <tableStyle name="CIERRE LUNES-style" pivot="0" count="3" xr9:uid="{20A39992-C5DB-4B79-A8B1-CE8A26290BE6}">
      <tableStyleElement type="headerRow" dxfId="35"/>
      <tableStyleElement type="firstRowStripe" dxfId="34"/>
      <tableStyleElement type="secondRowStripe" dxfId="33"/>
    </tableStyle>
    <tableStyle name="CIERRE MARTES-style" pivot="0" count="3" xr9:uid="{D01DFBD2-D618-4049-901A-BC0E9DEB8186}">
      <tableStyleElement type="headerRow" dxfId="32"/>
      <tableStyleElement type="firstRowStripe" dxfId="31"/>
      <tableStyleElement type="secondRowStripe" dxfId="30"/>
    </tableStyle>
    <tableStyle name="CIERRE MIERCOLES-style" pivot="0" count="3" xr9:uid="{37D24B84-1BBF-41A7-8625-D578251628FE}">
      <tableStyleElement type="headerRow" dxfId="29"/>
      <tableStyleElement type="firstRowStripe" dxfId="28"/>
      <tableStyleElement type="secondRowStripe" dxfId="27"/>
    </tableStyle>
    <tableStyle name="CIERRE JUEVES-style" pivot="0" count="3" xr9:uid="{401E3DBA-AE9A-40A5-98FE-18EC4896C176}">
      <tableStyleElement type="headerRow" dxfId="26"/>
      <tableStyleElement type="firstRowStripe" dxfId="25"/>
      <tableStyleElement type="secondRowStripe" dxfId="24"/>
    </tableStyle>
    <tableStyle name="CIERRE VIERNES-style" pivot="0" count="3" xr9:uid="{F09021B9-4B38-499C-B67A-EB47B7DE0DF4}">
      <tableStyleElement type="headerRow" dxfId="23"/>
      <tableStyleElement type="firstRowStripe" dxfId="22"/>
      <tableStyleElement type="secondRowStripe" dxfId="21"/>
    </tableStyle>
    <tableStyle name="CIERRE SABADO-style" pivot="0" count="3" xr9:uid="{406243A4-7B0C-4AA5-A111-30F9300D23D3}">
      <tableStyleElement type="headerRow" dxfId="20"/>
      <tableStyleElement type="firstRowStripe" dxfId="19"/>
      <tableStyleElement type="secondRowStripe" dxfId="18"/>
    </tableStyle>
    <tableStyle name="CIERRE DOMINGO-style" pivot="0" count="3" xr9:uid="{0491E23E-AEDC-48CF-9B1F-C3C49C6F0D3C}">
      <tableStyleElement type="headerRow" dxfId="17"/>
      <tableStyleElement type="firstRowStripe" dxfId="16"/>
      <tableStyleElement type="secondRowStripe" dxfId="15"/>
    </tableStyle>
    <tableStyle name="CIERRE LUN A VIER-style" pivot="0" count="3" xr9:uid="{71A6C12B-1CCF-4AF7-A538-D8A4A35E2066}">
      <tableStyleElement type="headerRow" dxfId="14"/>
      <tableStyleElement type="firstRowStripe" dxfId="13"/>
      <tableStyleElement type="secondRowStripe" dxfId="12"/>
    </tableStyle>
    <tableStyle name="CIERRE DE LUN A JUE-style" pivot="0" count="3" xr9:uid="{4B942162-1008-4ACD-8A38-2490F6293DF3}">
      <tableStyleElement type="headerRow" dxfId="11"/>
      <tableStyleElement type="firstRowStripe" dxfId="10"/>
      <tableStyleElement type="secondRowStripe" dxfId="9"/>
    </tableStyle>
    <tableStyle name="CIERRE SAB A DOM-style" pivot="0" count="3" xr9:uid="{8A58C233-6BC3-4700-B6DA-ECE1009A9C36}">
      <tableStyleElement type="headerRow" dxfId="8"/>
      <tableStyleElement type="firstRowStripe" dxfId="7"/>
      <tableStyleElement type="secondRowStripe" dxfId="6"/>
    </tableStyle>
    <tableStyle name="CIERRE VIE A DOM-style" pivot="0" count="3" xr9:uid="{E3789023-36B8-45F8-ADC0-B92C5DB0FDB1}">
      <tableStyleElement type="headerRow" dxfId="5"/>
      <tableStyleElement type="firstRowStripe" dxfId="4"/>
      <tableStyleElement type="secondRowStripe" dxfId="3"/>
    </tableStyle>
    <tableStyle name="CIERRE GENERAL LUN A DOM-style" pivot="0" count="3" xr9:uid="{5FBDBDDA-6791-40B7-B3D7-D3858874277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0</xdr:rowOff>
    </xdr:from>
    <xdr:to>
      <xdr:col>1</xdr:col>
      <xdr:colOff>2305053</xdr:colOff>
      <xdr:row>4</xdr:row>
      <xdr:rowOff>166689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0"/>
          <a:ext cx="1819275" cy="90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0</xdr:rowOff>
    </xdr:from>
    <xdr:to>
      <xdr:col>1</xdr:col>
      <xdr:colOff>2305053</xdr:colOff>
      <xdr:row>4</xdr:row>
      <xdr:rowOff>166689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0"/>
          <a:ext cx="1819275" cy="909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38100</xdr:rowOff>
    </xdr:from>
    <xdr:to>
      <xdr:col>1</xdr:col>
      <xdr:colOff>2219328</xdr:colOff>
      <xdr:row>4</xdr:row>
      <xdr:rowOff>204789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8100"/>
          <a:ext cx="1819275" cy="909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38100</xdr:rowOff>
    </xdr:from>
    <xdr:to>
      <xdr:col>1</xdr:col>
      <xdr:colOff>2305053</xdr:colOff>
      <xdr:row>4</xdr:row>
      <xdr:rowOff>204789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8100"/>
          <a:ext cx="1819275" cy="909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123825</xdr:rowOff>
    </xdr:from>
    <xdr:to>
      <xdr:col>1</xdr:col>
      <xdr:colOff>2305053</xdr:colOff>
      <xdr:row>3</xdr:row>
      <xdr:rowOff>328614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23825"/>
          <a:ext cx="1819275" cy="9093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456811</xdr:colOff>
      <xdr:row>0</xdr:row>
      <xdr:rowOff>68037</xdr:rowOff>
    </xdr:from>
    <xdr:to>
      <xdr:col>1</xdr:col>
      <xdr:colOff>2276089</xdr:colOff>
      <xdr:row>4</xdr:row>
      <xdr:rowOff>219564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840" y="67945"/>
          <a:ext cx="1819275" cy="8940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28575</xdr:rowOff>
    </xdr:from>
    <xdr:to>
      <xdr:col>1</xdr:col>
      <xdr:colOff>2305053</xdr:colOff>
      <xdr:row>4</xdr:row>
      <xdr:rowOff>195264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28575"/>
          <a:ext cx="1819275" cy="909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38100</xdr:rowOff>
    </xdr:from>
    <xdr:to>
      <xdr:col>1</xdr:col>
      <xdr:colOff>2324103</xdr:colOff>
      <xdr:row>4</xdr:row>
      <xdr:rowOff>204789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38100"/>
          <a:ext cx="1819275" cy="9093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171450</xdr:rowOff>
    </xdr:from>
    <xdr:to>
      <xdr:col>1</xdr:col>
      <xdr:colOff>2295528</xdr:colOff>
      <xdr:row>4</xdr:row>
      <xdr:rowOff>42864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71450"/>
          <a:ext cx="1819275" cy="9093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6:D31">
  <tableColumns count="3">
    <tableColumn id="1" xr3:uid="{00000000-0010-0000-0000-000001000000}" name="EGRESOS"/>
    <tableColumn id="2" xr3:uid="{00000000-0010-0000-0000-000002000000}" name="BS"/>
    <tableColumn id="3" xr3:uid="{00000000-0010-0000-0000-000003000000}" name="$"/>
  </tableColumns>
  <tableStyleInfo name="CIERRE LUN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e_114" displayName="Table_114" ref="B26:D31">
  <tableColumns count="3">
    <tableColumn id="1" xr3:uid="{00000000-0010-0000-0100-000001000000}" name="EGRESOS"/>
    <tableColumn id="2" xr3:uid="{00000000-0010-0000-0100-000002000000}" name="BS"/>
    <tableColumn id="3" xr3:uid="{00000000-0010-0000-0100-000003000000}" name="$"/>
  </tableColumns>
  <tableStyleInfo name="CIERRE LUN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_115" displayName="Table_115" ref="B26:D31">
  <tableColumns count="3">
    <tableColumn id="1" xr3:uid="{00000000-0010-0000-0200-000001000000}" name="EGRESOS"/>
    <tableColumn id="2" xr3:uid="{00000000-0010-0000-0200-000002000000}" name="BS"/>
    <tableColumn id="3" xr3:uid="{00000000-0010-0000-0200-000003000000}" name="$"/>
  </tableColumns>
  <tableStyleInfo name="CIERRE LUN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Table_116" displayName="Table_116" ref="B26:D31">
  <tableColumns count="3">
    <tableColumn id="1" xr3:uid="{00000000-0010-0000-0300-000001000000}" name="EGRESOS"/>
    <tableColumn id="2" xr3:uid="{00000000-0010-0000-0300-000002000000}" name="BS"/>
    <tableColumn id="3" xr3:uid="{00000000-0010-0000-0300-000003000000}" name="$"/>
  </tableColumns>
  <tableStyleInfo name="CIERRE LUN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_9" displayName="Table_9" ref="B45:D49">
  <tableColumns count="3">
    <tableColumn id="1" xr3:uid="{00000000-0010-0000-0400-000001000000}" name="EGRESOS"/>
    <tableColumn id="2" xr3:uid="{00000000-0010-0000-0400-000002000000}" name="BS"/>
    <tableColumn id="3" xr3:uid="{00000000-0010-0000-0400-000003000000}" name="$"/>
  </tableColumns>
  <tableStyleInfo name="CIERRE DE LUN A JU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e_117" displayName="Table_117" ref="B26:D31">
  <tableColumns count="3">
    <tableColumn id="1" xr3:uid="{00000000-0010-0000-0500-000001000000}" name="EGRESOS"/>
    <tableColumn id="2" xr3:uid="{00000000-0010-0000-0500-000002000000}" name="BS"/>
    <tableColumn id="3" xr3:uid="{00000000-0010-0000-0500-000003000000}" name="$"/>
  </tableColumns>
  <tableStyleInfo name="CIERRE LUN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Table_118" displayName="Table_118" ref="B26:D31">
  <tableColumns count="3">
    <tableColumn id="1" xr3:uid="{00000000-0010-0000-0600-000001000000}" name="EGRESOS"/>
    <tableColumn id="2" xr3:uid="{00000000-0010-0000-0600-000002000000}" name="BS"/>
    <tableColumn id="3" xr3:uid="{00000000-0010-0000-0600-000003000000}" name="$"/>
  </tableColumns>
  <tableStyleInfo name="CIERRE LUN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7000000}" name="Table_119" displayName="Table_119" ref="B26:D31">
  <tableColumns count="3">
    <tableColumn id="1" xr3:uid="{00000000-0010-0000-0700-000001000000}" name="EGRESOS"/>
    <tableColumn id="2" xr3:uid="{00000000-0010-0000-0700-000002000000}" name="BS"/>
    <tableColumn id="3" xr3:uid="{00000000-0010-0000-0700-000003000000}" name="$"/>
  </tableColumns>
  <tableStyleInfo name="CIERRE LUNE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Table_93" displayName="Table_93" ref="B45:D49">
  <tableColumns count="3">
    <tableColumn id="1" xr3:uid="{00000000-0010-0000-0800-000001000000}" name="EGRESOS"/>
    <tableColumn id="2" xr3:uid="{00000000-0010-0000-0800-000002000000}" name="BS"/>
    <tableColumn id="3" xr3:uid="{00000000-0010-0000-0800-000003000000}" name="$"/>
  </tableColumns>
  <tableStyleInfo name="CIERRE DE LUN A J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32"/>
  <sheetViews>
    <sheetView tabSelected="1" topLeftCell="A41" zoomScale="40" zoomScaleNormal="40" workbookViewId="0">
      <selection activeCell="BA14" sqref="BA14"/>
    </sheetView>
  </sheetViews>
  <sheetFormatPr baseColWidth="10" defaultColWidth="5.6640625" defaultRowHeight="33" customHeight="1"/>
  <cols>
    <col min="1" max="1" width="24.109375" customWidth="1"/>
    <col min="4" max="4" width="12.44140625" customWidth="1"/>
    <col min="5" max="5" width="6.6640625" customWidth="1"/>
    <col min="9" max="9" width="8" customWidth="1"/>
    <col min="21" max="21" width="11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2.33203125" customWidth="1"/>
    <col min="38" max="38" width="10.5546875" customWidth="1"/>
    <col min="39" max="39" width="11.6640625" customWidth="1"/>
    <col min="40" max="40" width="12.33203125" customWidth="1"/>
    <col min="42" max="42" width="22.44140625" bestFit="1" customWidth="1"/>
    <col min="43" max="43" width="8.5546875" bestFit="1" customWidth="1"/>
    <col min="44" max="44" width="7" bestFit="1" customWidth="1"/>
    <col min="45" max="45" width="9" bestFit="1" customWidth="1"/>
  </cols>
  <sheetData>
    <row r="1" spans="1:45" ht="33" customHeight="1">
      <c r="B1" s="191"/>
      <c r="C1" s="291" t="s">
        <v>0</v>
      </c>
      <c r="D1" s="292"/>
      <c r="E1" s="292"/>
      <c r="F1" s="412">
        <v>46237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B2" s="416" t="s">
        <v>4</v>
      </c>
      <c r="C2" s="417"/>
      <c r="D2" s="418"/>
      <c r="E2" s="292"/>
      <c r="F2" s="419" t="s">
        <v>215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21">
        <v>890</v>
      </c>
      <c r="Q2" s="422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393" t="s">
        <v>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5"/>
      <c r="AD4" s="27"/>
      <c r="AK4" s="155" t="s">
        <v>182</v>
      </c>
      <c r="AL4" s="156">
        <v>2</v>
      </c>
      <c r="AM4" s="157"/>
      <c r="AN4" s="158">
        <f>AM4*AL4</f>
        <v>0</v>
      </c>
      <c r="AP4" s="155" t="s">
        <v>209</v>
      </c>
      <c r="AQ4" s="156">
        <v>2.5</v>
      </c>
      <c r="AR4" s="157"/>
      <c r="AS4" s="158">
        <f>AR4*AQ4</f>
        <v>0</v>
      </c>
    </row>
    <row r="5" spans="1:45" ht="33" customHeight="1">
      <c r="A5" s="319" t="s">
        <v>11</v>
      </c>
      <c r="B5" s="159" t="s">
        <v>12</v>
      </c>
      <c r="C5" s="306" t="s">
        <v>12</v>
      </c>
      <c r="D5" s="159" t="s">
        <v>12</v>
      </c>
      <c r="E5" s="306" t="s">
        <v>12</v>
      </c>
      <c r="F5" s="159" t="s">
        <v>12</v>
      </c>
      <c r="G5" s="306" t="s">
        <v>12</v>
      </c>
      <c r="H5" s="159" t="s">
        <v>12</v>
      </c>
      <c r="I5" s="306" t="s">
        <v>12</v>
      </c>
      <c r="J5" s="159" t="s">
        <v>12</v>
      </c>
      <c r="K5" s="306" t="s">
        <v>12</v>
      </c>
      <c r="L5" s="159" t="s">
        <v>12</v>
      </c>
      <c r="M5" s="306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>
        <v>1</v>
      </c>
      <c r="AN5" s="158">
        <f>AM5*AL5</f>
        <v>1.5</v>
      </c>
      <c r="AP5" s="155" t="s">
        <v>187</v>
      </c>
      <c r="AQ5" s="156">
        <v>1</v>
      </c>
      <c r="AR5" s="157"/>
      <c r="AS5" s="158">
        <f>AR5*AQ5</f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515" t="s">
        <v>13</v>
      </c>
      <c r="AE6" s="398" t="s">
        <v>14</v>
      </c>
      <c r="AF6" s="398"/>
      <c r="AG6" s="398"/>
      <c r="AH6" s="398"/>
      <c r="AI6" s="200" t="s">
        <v>15</v>
      </c>
      <c r="AK6" s="155" t="s">
        <v>192</v>
      </c>
      <c r="AL6" s="156">
        <v>2</v>
      </c>
      <c r="AM6" s="157">
        <v>1</v>
      </c>
      <c r="AN6" s="158">
        <f>AM6*AL6</f>
        <v>2</v>
      </c>
      <c r="AP6" s="155" t="s">
        <v>210</v>
      </c>
      <c r="AQ6" s="156">
        <v>1</v>
      </c>
      <c r="AR6" s="157"/>
      <c r="AS6" s="158">
        <f>AR6*AQ6</f>
        <v>0</v>
      </c>
    </row>
    <row r="7" spans="1:45" ht="33" customHeight="1">
      <c r="A7" s="307" t="s">
        <v>16</v>
      </c>
      <c r="B7" s="170">
        <v>1</v>
      </c>
      <c r="C7" s="170">
        <v>1</v>
      </c>
      <c r="D7" s="170">
        <v>1</v>
      </c>
      <c r="E7" s="170">
        <v>1</v>
      </c>
      <c r="F7" s="170">
        <v>1</v>
      </c>
      <c r="G7" s="170">
        <v>1</v>
      </c>
      <c r="H7" s="170"/>
      <c r="I7" s="170">
        <v>1</v>
      </c>
      <c r="J7" s="170"/>
      <c r="K7" s="170">
        <v>1</v>
      </c>
      <c r="L7" s="170">
        <v>1</v>
      </c>
      <c r="M7" s="170">
        <v>1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/>
      <c r="AD7" s="172">
        <f>+C18+D18+F18+J18+L18+M18</f>
        <v>12</v>
      </c>
      <c r="AE7" s="173"/>
      <c r="AF7" s="174"/>
      <c r="AG7" s="175"/>
      <c r="AH7" s="175"/>
      <c r="AI7" s="176">
        <f t="shared" ref="AI7:AI10" si="0">SUM(AE7:AH7)</f>
        <v>0</v>
      </c>
      <c r="AK7" s="155" t="s">
        <v>193</v>
      </c>
      <c r="AL7" s="156">
        <v>1</v>
      </c>
      <c r="AM7" s="157"/>
      <c r="AN7" s="158">
        <f>AM7*AL7</f>
        <v>0</v>
      </c>
      <c r="AP7" s="155" t="s">
        <v>211</v>
      </c>
      <c r="AQ7" s="156">
        <v>0.3</v>
      </c>
      <c r="AR7" s="157"/>
      <c r="AS7" s="158">
        <f>AR7*AQ7</f>
        <v>0</v>
      </c>
    </row>
    <row r="8" spans="1:45" ht="33" customHeight="1">
      <c r="A8" s="308" t="s">
        <v>18</v>
      </c>
      <c r="B8" s="170"/>
      <c r="C8" s="170">
        <v>1</v>
      </c>
      <c r="D8" s="170">
        <v>1</v>
      </c>
      <c r="E8" s="170">
        <v>1</v>
      </c>
      <c r="F8" s="170">
        <v>1</v>
      </c>
      <c r="G8" s="170">
        <v>1</v>
      </c>
      <c r="H8" s="170"/>
      <c r="I8" s="170">
        <v>1</v>
      </c>
      <c r="J8" s="170"/>
      <c r="K8" s="170"/>
      <c r="L8" s="170"/>
      <c r="M8" s="170">
        <v>1</v>
      </c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/>
      <c r="AD8" s="172">
        <f>+B18+E18+G18+H18+I18+K18</f>
        <v>9</v>
      </c>
      <c r="AE8" s="172"/>
      <c r="AF8" s="174"/>
      <c r="AG8" s="175"/>
      <c r="AH8" s="175"/>
      <c r="AI8" s="176">
        <f t="shared" si="0"/>
        <v>0</v>
      </c>
      <c r="AK8" s="155" t="s">
        <v>194</v>
      </c>
      <c r="AL8" s="156">
        <v>2</v>
      </c>
      <c r="AM8" s="157"/>
      <c r="AN8" s="158">
        <f>AM8*AL8</f>
        <v>0</v>
      </c>
      <c r="AP8" s="155" t="s">
        <v>212</v>
      </c>
      <c r="AQ8" s="156">
        <v>2</v>
      </c>
      <c r="AR8" s="157">
        <v>1</v>
      </c>
      <c r="AS8" s="158">
        <f>AR8*AQ8</f>
        <v>2</v>
      </c>
    </row>
    <row r="9" spans="1:45" ht="33" customHeight="1">
      <c r="A9" s="181"/>
      <c r="B9" s="179"/>
      <c r="C9" s="179"/>
      <c r="D9" s="179">
        <v>1</v>
      </c>
      <c r="E9" s="179"/>
      <c r="F9" s="179"/>
      <c r="G9" s="179"/>
      <c r="H9" s="179"/>
      <c r="I9" s="179">
        <v>1</v>
      </c>
      <c r="J9" s="179"/>
      <c r="K9" s="179"/>
      <c r="L9" s="179"/>
      <c r="M9" s="179">
        <v>1</v>
      </c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8"/>
      <c r="AD9" s="172"/>
      <c r="AE9" s="172"/>
      <c r="AF9" s="174"/>
      <c r="AG9" s="175"/>
      <c r="AH9" s="175"/>
      <c r="AI9" s="176">
        <f t="shared" si="0"/>
        <v>0</v>
      </c>
      <c r="AK9" s="155" t="s">
        <v>195</v>
      </c>
      <c r="AL9" s="156">
        <v>4.5</v>
      </c>
      <c r="AM9" s="157"/>
      <c r="AN9" s="158">
        <f>AM9*AL9</f>
        <v>0</v>
      </c>
      <c r="AP9" s="155" t="s">
        <v>19</v>
      </c>
      <c r="AQ9" s="156">
        <v>1</v>
      </c>
      <c r="AR9" s="157">
        <v>2</v>
      </c>
      <c r="AS9" s="158">
        <f>AR9*AQ9</f>
        <v>2</v>
      </c>
    </row>
    <row r="10" spans="1:45" ht="33" customHeight="1">
      <c r="A10" s="181"/>
      <c r="B10" s="182"/>
      <c r="C10" s="182"/>
      <c r="D10" s="182">
        <v>1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72"/>
      <c r="AE10" s="172"/>
      <c r="AF10" s="174"/>
      <c r="AG10" s="175"/>
      <c r="AH10" s="175"/>
      <c r="AI10" s="175">
        <f t="shared" si="0"/>
        <v>0</v>
      </c>
      <c r="AK10" s="155" t="s">
        <v>196</v>
      </c>
      <c r="AL10" s="156">
        <v>1.5</v>
      </c>
      <c r="AM10" s="157"/>
      <c r="AN10" s="158">
        <f>AM10*AL10</f>
        <v>0</v>
      </c>
      <c r="AP10" s="155" t="s">
        <v>213</v>
      </c>
      <c r="AQ10" s="156">
        <v>2</v>
      </c>
      <c r="AR10" s="157"/>
      <c r="AS10" s="158">
        <f>AR10*AQ10</f>
        <v>0</v>
      </c>
    </row>
    <row r="11" spans="1:45" ht="33" customHeight="1">
      <c r="A11" s="183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185">
        <f>SUM(AD7:AD10)</f>
        <v>21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/>
      <c r="AN11" s="158">
        <f>AM11*AL11</f>
        <v>0</v>
      </c>
      <c r="AP11" s="155" t="s">
        <v>214</v>
      </c>
      <c r="AQ11" s="156">
        <v>1.5</v>
      </c>
      <c r="AR11" s="157"/>
      <c r="AS11" s="158">
        <f>AR11*AQ11</f>
        <v>0</v>
      </c>
    </row>
    <row r="12" spans="1:45" ht="33" customHeight="1">
      <c r="A12" s="188"/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2.6</v>
      </c>
      <c r="AM12" s="157"/>
      <c r="AN12" s="158">
        <f>AM12*AL12</f>
        <v>0</v>
      </c>
      <c r="AP12" s="155"/>
      <c r="AQ12" s="156"/>
      <c r="AR12" s="157"/>
      <c r="AS12" s="158">
        <f>AR12*AQ12</f>
        <v>0</v>
      </c>
    </row>
    <row r="13" spans="1:45" ht="33" customHeight="1">
      <c r="A13" s="71"/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>AM13*AL13</f>
        <v>0</v>
      </c>
      <c r="AP13" s="155"/>
      <c r="AQ13" s="156"/>
      <c r="AR13" s="157"/>
      <c r="AS13" s="158">
        <f>AR13*AQ13</f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>AM14*AL14</f>
        <v>0</v>
      </c>
      <c r="AP14" s="155"/>
      <c r="AQ14" s="156"/>
      <c r="AR14" s="157"/>
      <c r="AS14" s="158">
        <f>AR14*AQ14</f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>AM15*AL15</f>
        <v>0</v>
      </c>
      <c r="AP15" s="155"/>
      <c r="AQ15" s="156"/>
      <c r="AR15" s="157"/>
      <c r="AS15" s="158">
        <f>AR15*AQ15</f>
        <v>0</v>
      </c>
    </row>
    <row r="16" spans="1:45" ht="33" customHeight="1"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>AM16*AL16</f>
        <v>0</v>
      </c>
      <c r="AP16" s="192"/>
      <c r="AQ16" s="297"/>
      <c r="AR16" s="298"/>
      <c r="AS16" s="516">
        <f>AR16*AQ16</f>
        <v>0</v>
      </c>
    </row>
    <row r="17" spans="1:46" ht="33" customHeight="1"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/>
      <c r="AN17" s="158">
        <f>AM17*AL17</f>
        <v>0</v>
      </c>
      <c r="AP17" s="195"/>
      <c r="AQ17" s="300"/>
      <c r="AR17" s="301"/>
      <c r="AS17" s="516">
        <f>AR17*AQ17</f>
        <v>0</v>
      </c>
    </row>
    <row r="18" spans="1:46" ht="33" customHeight="1">
      <c r="B18" s="197">
        <f t="shared" ref="B18:AC18" si="1">SUM(B7:B15)</f>
        <v>1</v>
      </c>
      <c r="C18" s="197">
        <f t="shared" si="1"/>
        <v>2</v>
      </c>
      <c r="D18" s="197">
        <f t="shared" si="1"/>
        <v>4</v>
      </c>
      <c r="E18" s="197">
        <f t="shared" si="1"/>
        <v>2</v>
      </c>
      <c r="F18" s="197">
        <f t="shared" si="1"/>
        <v>2</v>
      </c>
      <c r="G18" s="197">
        <f t="shared" si="1"/>
        <v>2</v>
      </c>
      <c r="H18" s="197">
        <f t="shared" si="1"/>
        <v>0</v>
      </c>
      <c r="I18" s="197">
        <f t="shared" si="1"/>
        <v>3</v>
      </c>
      <c r="J18" s="197">
        <f t="shared" si="1"/>
        <v>0</v>
      </c>
      <c r="K18" s="197">
        <f t="shared" si="1"/>
        <v>1</v>
      </c>
      <c r="L18" s="197">
        <f t="shared" si="1"/>
        <v>1</v>
      </c>
      <c r="M18" s="197">
        <f t="shared" si="1"/>
        <v>3</v>
      </c>
      <c r="N18" s="197">
        <f t="shared" si="1"/>
        <v>0</v>
      </c>
      <c r="O18" s="197">
        <f t="shared" si="1"/>
        <v>0</v>
      </c>
      <c r="P18" s="197">
        <f t="shared" si="1"/>
        <v>0</v>
      </c>
      <c r="Q18" s="197">
        <f t="shared" si="1"/>
        <v>0</v>
      </c>
      <c r="R18" s="197">
        <f t="shared" si="1"/>
        <v>0</v>
      </c>
      <c r="S18" s="197">
        <f t="shared" si="1"/>
        <v>0</v>
      </c>
      <c r="T18" s="197">
        <f t="shared" si="1"/>
        <v>0</v>
      </c>
      <c r="U18" s="197">
        <f t="shared" si="1"/>
        <v>0</v>
      </c>
      <c r="V18" s="197">
        <f t="shared" si="1"/>
        <v>0</v>
      </c>
      <c r="W18" s="197">
        <f t="shared" si="1"/>
        <v>0</v>
      </c>
      <c r="X18" s="197">
        <f t="shared" si="1"/>
        <v>0</v>
      </c>
      <c r="Y18" s="197">
        <f t="shared" si="1"/>
        <v>0</v>
      </c>
      <c r="Z18" s="197">
        <f t="shared" si="1"/>
        <v>0</v>
      </c>
      <c r="AA18" s="197">
        <f t="shared" si="1"/>
        <v>0</v>
      </c>
      <c r="AB18" s="197">
        <f t="shared" si="1"/>
        <v>0</v>
      </c>
      <c r="AC18" s="197">
        <f t="shared" si="1"/>
        <v>0</v>
      </c>
      <c r="AG18" s="2"/>
      <c r="AK18" s="195" t="s">
        <v>201</v>
      </c>
      <c r="AL18" s="156">
        <v>2</v>
      </c>
      <c r="AM18" s="198"/>
      <c r="AN18" s="158">
        <f>AM18*AL18</f>
        <v>0</v>
      </c>
      <c r="AP18" s="195"/>
      <c r="AQ18" s="156"/>
      <c r="AR18" s="302"/>
      <c r="AS18" s="516">
        <f>AR18*AQ18</f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>AM19*AL19</f>
        <v>0</v>
      </c>
      <c r="AP19" s="195"/>
      <c r="AQ19" s="156"/>
      <c r="AR19" s="302"/>
      <c r="AS19" s="516">
        <f>AR19*AQ19</f>
        <v>0</v>
      </c>
    </row>
    <row r="20" spans="1:46" ht="33" customHeight="1">
      <c r="B20" s="393" t="s">
        <v>184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5"/>
      <c r="AD20" s="27"/>
      <c r="AK20" s="195" t="s">
        <v>203</v>
      </c>
      <c r="AL20" s="156">
        <v>2</v>
      </c>
      <c r="AM20" s="199"/>
      <c r="AN20" s="158">
        <f>AM20*AL20</f>
        <v>0</v>
      </c>
      <c r="AP20" s="195"/>
      <c r="AQ20" s="156"/>
      <c r="AR20" s="302"/>
      <c r="AS20" s="516">
        <f>AR20*AQ20</f>
        <v>0</v>
      </c>
    </row>
    <row r="21" spans="1:46" ht="25.8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>AM21*AL21</f>
        <v>0</v>
      </c>
      <c r="AP21" s="195"/>
      <c r="AQ21" s="156"/>
      <c r="AR21" s="302"/>
      <c r="AS21" s="516">
        <f>AR21*AQ21</f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515" t="s">
        <v>13</v>
      </c>
      <c r="AE22" s="398" t="s">
        <v>14</v>
      </c>
      <c r="AF22" s="398"/>
      <c r="AG22" s="398"/>
      <c r="AH22" s="398"/>
      <c r="AI22" s="200" t="s">
        <v>15</v>
      </c>
      <c r="AK22" s="195" t="s">
        <v>205</v>
      </c>
      <c r="AL22" s="156">
        <v>1</v>
      </c>
      <c r="AM22" s="199"/>
      <c r="AN22" s="158">
        <f>AM22*AL22</f>
        <v>0</v>
      </c>
      <c r="AP22" s="195"/>
      <c r="AQ22" s="156"/>
      <c r="AR22" s="302"/>
      <c r="AS22" s="516">
        <f>AR22*AQ22</f>
        <v>0</v>
      </c>
      <c r="AT22" s="2"/>
    </row>
    <row r="23" spans="1:46" ht="33" customHeight="1">
      <c r="A23" s="169" t="s">
        <v>16</v>
      </c>
      <c r="B23" s="286"/>
      <c r="C23" s="286">
        <v>1</v>
      </c>
      <c r="D23" s="201"/>
      <c r="E23" s="201"/>
      <c r="F23" s="201">
        <v>1</v>
      </c>
      <c r="G23" s="201"/>
      <c r="H23" s="201">
        <v>1</v>
      </c>
      <c r="I23" s="201"/>
      <c r="J23" s="201">
        <v>1</v>
      </c>
      <c r="K23" s="201"/>
      <c r="L23" s="201">
        <v>1</v>
      </c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1"/>
      <c r="AD23" s="203">
        <f>+C34+D34+J34+L34+M34</f>
        <v>3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>AM23*AL23</f>
        <v>0</v>
      </c>
      <c r="AP23" s="195"/>
      <c r="AQ23" s="156"/>
      <c r="AR23" s="302"/>
      <c r="AS23" s="516">
        <f>AR23*AQ23</f>
        <v>0</v>
      </c>
      <c r="AT23" s="2"/>
    </row>
    <row r="24" spans="1:46" ht="33" customHeight="1">
      <c r="A24" s="308" t="s">
        <v>18</v>
      </c>
      <c r="B24" s="286"/>
      <c r="C24" s="286"/>
      <c r="D24" s="201"/>
      <c r="E24" s="201"/>
      <c r="F24" s="201"/>
      <c r="G24" s="201"/>
      <c r="H24" s="201"/>
      <c r="I24" s="201"/>
      <c r="J24" s="201"/>
      <c r="K24" s="201"/>
      <c r="L24" s="201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1"/>
      <c r="AD24" s="203">
        <f>+B34+E34+G34+H34+I34+K34</f>
        <v>1</v>
      </c>
      <c r="AE24" s="194"/>
      <c r="AF24" s="205"/>
      <c r="AG24" s="206"/>
      <c r="AH24" s="206"/>
      <c r="AI24" s="207">
        <f t="shared" ref="AI24:AI26" si="2">SUM(AE24:AH24)</f>
        <v>0</v>
      </c>
      <c r="AK24" s="195" t="s">
        <v>207</v>
      </c>
      <c r="AL24" s="156">
        <v>2</v>
      </c>
      <c r="AM24" s="199">
        <v>1</v>
      </c>
      <c r="AN24" s="158">
        <f>AM24*AL24</f>
        <v>2</v>
      </c>
      <c r="AP24" s="195"/>
      <c r="AQ24" s="156"/>
      <c r="AR24" s="302"/>
      <c r="AS24" s="516">
        <f>AR24*AQ24</f>
        <v>0</v>
      </c>
      <c r="AT24" s="2"/>
    </row>
    <row r="25" spans="1:46" s="147" customFormat="1" ht="33" customHeight="1">
      <c r="A25" s="181"/>
      <c r="B25" s="208"/>
      <c r="C25" s="208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2"/>
        <v>0</v>
      </c>
      <c r="AJ25"/>
      <c r="AK25" s="303" t="s">
        <v>189</v>
      </c>
      <c r="AL25" s="156">
        <v>2</v>
      </c>
      <c r="AM25" s="199"/>
      <c r="AN25" s="158">
        <f>AM25*AL25</f>
        <v>0</v>
      </c>
      <c r="AP25" s="303"/>
      <c r="AQ25" s="156"/>
      <c r="AR25" s="302"/>
      <c r="AS25" s="516">
        <f>AR25*AQ25</f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/>
      <c r="AE26" s="194"/>
      <c r="AF26" s="205"/>
      <c r="AG26" s="206"/>
      <c r="AH26" s="206"/>
      <c r="AI26" s="212">
        <f t="shared" si="2"/>
        <v>0</v>
      </c>
      <c r="AJ26"/>
      <c r="AK26" s="303" t="s">
        <v>188</v>
      </c>
      <c r="AL26" s="156">
        <v>1</v>
      </c>
      <c r="AM26" s="199"/>
      <c r="AN26" s="158">
        <f>AM26*AL26</f>
        <v>0</v>
      </c>
      <c r="AP26" s="303"/>
      <c r="AQ26" s="156"/>
      <c r="AR26" s="302"/>
      <c r="AS26" s="516">
        <f>AR26*AQ26</f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4</v>
      </c>
      <c r="AE27" s="215"/>
      <c r="AF27" s="215"/>
      <c r="AG27" s="216"/>
      <c r="AH27" s="216"/>
      <c r="AI27" s="216"/>
      <c r="AJ27"/>
      <c r="AN27" s="517">
        <f>SUM(AN3:AN26)</f>
        <v>5.5</v>
      </c>
      <c r="AS27" s="517">
        <f>SUM(AS3:AS26)</f>
        <v>4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4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3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3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3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4">SUM(B23:B31)</f>
        <v>0</v>
      </c>
      <c r="C34" s="197">
        <f t="shared" si="4"/>
        <v>1</v>
      </c>
      <c r="D34" s="197">
        <f t="shared" si="4"/>
        <v>0</v>
      </c>
      <c r="E34" s="197">
        <f t="shared" si="4"/>
        <v>0</v>
      </c>
      <c r="F34" s="197">
        <f t="shared" si="4"/>
        <v>1</v>
      </c>
      <c r="G34" s="197">
        <f t="shared" si="4"/>
        <v>0</v>
      </c>
      <c r="H34" s="197">
        <f t="shared" si="4"/>
        <v>1</v>
      </c>
      <c r="I34" s="197">
        <f t="shared" si="4"/>
        <v>0</v>
      </c>
      <c r="J34" s="197">
        <f t="shared" si="4"/>
        <v>1</v>
      </c>
      <c r="K34" s="197">
        <f t="shared" si="4"/>
        <v>0</v>
      </c>
      <c r="L34" s="197">
        <f t="shared" si="4"/>
        <v>1</v>
      </c>
      <c r="M34" s="197">
        <f t="shared" si="4"/>
        <v>0</v>
      </c>
      <c r="N34" s="197">
        <f t="shared" si="4"/>
        <v>0</v>
      </c>
      <c r="O34" s="197">
        <f t="shared" si="4"/>
        <v>0</v>
      </c>
      <c r="P34" s="197">
        <f t="shared" si="4"/>
        <v>0</v>
      </c>
      <c r="Q34" s="197">
        <f t="shared" si="4"/>
        <v>0</v>
      </c>
      <c r="R34" s="197">
        <f t="shared" si="4"/>
        <v>0</v>
      </c>
      <c r="S34" s="197">
        <f t="shared" si="4"/>
        <v>0</v>
      </c>
      <c r="T34" s="197">
        <f t="shared" si="4"/>
        <v>0</v>
      </c>
      <c r="U34" s="197">
        <f t="shared" si="4"/>
        <v>0</v>
      </c>
      <c r="V34" s="197">
        <f t="shared" si="4"/>
        <v>0</v>
      </c>
      <c r="W34" s="197">
        <f t="shared" si="4"/>
        <v>0</v>
      </c>
      <c r="X34" s="197">
        <f t="shared" si="4"/>
        <v>0</v>
      </c>
      <c r="Y34" s="197">
        <f t="shared" si="4"/>
        <v>0</v>
      </c>
      <c r="Z34" s="197">
        <f t="shared" si="4"/>
        <v>0</v>
      </c>
      <c r="AA34" s="197">
        <f t="shared" si="4"/>
        <v>0</v>
      </c>
      <c r="AB34" s="197">
        <f t="shared" si="4"/>
        <v>0</v>
      </c>
      <c r="AC34" s="197">
        <f t="shared" si="4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3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3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02" t="s">
        <v>28</v>
      </c>
      <c r="B36" s="403"/>
      <c r="C36" s="403"/>
      <c r="D36" s="403"/>
      <c r="E36" s="403"/>
      <c r="F36" s="403"/>
      <c r="G36" s="403"/>
      <c r="H36" s="403"/>
      <c r="I36" s="404"/>
      <c r="O36" s="405" t="s">
        <v>29</v>
      </c>
      <c r="P36" s="406"/>
      <c r="Q36" s="406"/>
      <c r="R36" s="407"/>
      <c r="S36" s="405" t="s">
        <v>185</v>
      </c>
      <c r="T36" s="406"/>
      <c r="U36" s="408"/>
      <c r="V36" s="409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25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3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382" t="s">
        <v>33</v>
      </c>
      <c r="B37" s="383"/>
      <c r="C37" s="384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312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12</v>
      </c>
      <c r="P38" s="348"/>
      <c r="Q38" s="347">
        <f>AI7+AI23</f>
        <v>0</v>
      </c>
      <c r="R38" s="348"/>
      <c r="S38" s="347">
        <f>AD23</f>
        <v>3</v>
      </c>
      <c r="T38" s="348"/>
      <c r="U38" s="355">
        <f>S38*H38+O38*D38+Q38*F38</f>
        <v>180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9</v>
      </c>
      <c r="P39" s="348"/>
      <c r="Q39" s="347">
        <f>AI8</f>
        <v>0</v>
      </c>
      <c r="R39" s="348"/>
      <c r="S39" s="347">
        <f>AD24</f>
        <v>1</v>
      </c>
      <c r="T39" s="348"/>
      <c r="U39" s="355">
        <f t="shared" ref="U39:U41" si="5">S39*H39+O39*D39+Q39*F39</f>
        <v>132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364"/>
      <c r="E40" s="365"/>
      <c r="F40" s="364"/>
      <c r="G40" s="365"/>
      <c r="H40" s="364"/>
      <c r="I40" s="365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5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9.5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324"/>
      <c r="E41" s="325"/>
      <c r="F41" s="324"/>
      <c r="G41" s="325"/>
      <c r="H41" s="324"/>
      <c r="I41" s="325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5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321.5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21</v>
      </c>
      <c r="P42" s="348"/>
      <c r="Q42" s="347">
        <f t="shared" ref="Q42" si="6">SUM(Q38:R41)</f>
        <v>0</v>
      </c>
      <c r="R42" s="348"/>
      <c r="S42" s="347">
        <f t="shared" ref="S42" si="7">SUM(S38:T41)</f>
        <v>4</v>
      </c>
      <c r="T42" s="348"/>
      <c r="U42" s="347">
        <f>SUM(U38:V41)</f>
        <v>312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341.5</v>
      </c>
      <c r="AG42" s="315"/>
      <c r="AL42" s="2"/>
    </row>
    <row r="43" spans="1:46" ht="33" customHeight="1">
      <c r="AF43" s="351">
        <f>AF42-AF41</f>
        <v>20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/>
      <c r="F45" s="247">
        <f>E45*C45</f>
        <v>0</v>
      </c>
      <c r="H45" s="312">
        <v>1</v>
      </c>
      <c r="I45" s="312"/>
      <c r="J45" s="247">
        <v>3</v>
      </c>
      <c r="K45" s="247">
        <f>J45*H45</f>
        <v>3</v>
      </c>
      <c r="O45" s="337" t="s">
        <v>49</v>
      </c>
      <c r="P45" s="337"/>
      <c r="Q45" s="337"/>
      <c r="R45" s="337"/>
      <c r="S45" s="338">
        <f>F51</f>
        <v>1800</v>
      </c>
      <c r="T45" s="338"/>
      <c r="U45" s="338"/>
      <c r="V45" s="339">
        <f>S45/P2</f>
        <v>2.0224719101123596</v>
      </c>
      <c r="W45" s="339"/>
      <c r="X45" s="339"/>
    </row>
    <row r="46" spans="1:46" ht="33" customHeight="1">
      <c r="C46" s="311">
        <v>20</v>
      </c>
      <c r="D46" s="311"/>
      <c r="E46" s="247"/>
      <c r="F46" s="247">
        <f t="shared" ref="F46:F50" si="8">E46*C46</f>
        <v>0</v>
      </c>
      <c r="H46" s="312">
        <v>5</v>
      </c>
      <c r="I46" s="312"/>
      <c r="J46" s="247">
        <v>1</v>
      </c>
      <c r="K46" s="247">
        <f t="shared" ref="K46:K50" si="9">J46*H46</f>
        <v>5</v>
      </c>
      <c r="O46" s="326" t="s">
        <v>50</v>
      </c>
      <c r="P46" s="326"/>
      <c r="Q46" s="326"/>
      <c r="R46" s="326"/>
      <c r="S46" s="340">
        <v>179315</v>
      </c>
      <c r="T46" s="341"/>
      <c r="U46" s="342"/>
      <c r="V46" s="329">
        <f>S46/P2</f>
        <v>201.47752808988764</v>
      </c>
      <c r="W46" s="329"/>
      <c r="X46" s="329"/>
    </row>
    <row r="47" spans="1:46" ht="33" customHeight="1">
      <c r="C47" s="311">
        <v>50</v>
      </c>
      <c r="D47" s="311"/>
      <c r="E47" s="50"/>
      <c r="F47" s="247">
        <f t="shared" si="8"/>
        <v>0</v>
      </c>
      <c r="H47" s="312">
        <v>10</v>
      </c>
      <c r="I47" s="312"/>
      <c r="J47" s="50">
        <v>3</v>
      </c>
      <c r="K47" s="247">
        <f t="shared" si="9"/>
        <v>30</v>
      </c>
      <c r="O47" s="326" t="s">
        <v>47</v>
      </c>
      <c r="P47" s="326"/>
      <c r="Q47" s="326"/>
      <c r="R47" s="326"/>
      <c r="S47" s="327">
        <f>K51</f>
        <v>138</v>
      </c>
      <c r="T47" s="327"/>
      <c r="U47" s="328"/>
      <c r="V47" s="329">
        <f>S47</f>
        <v>138</v>
      </c>
      <c r="W47" s="329"/>
      <c r="X47" s="329"/>
    </row>
    <row r="48" spans="1:46" ht="33" customHeight="1">
      <c r="C48" s="311">
        <v>100</v>
      </c>
      <c r="D48" s="311"/>
      <c r="E48" s="50">
        <v>1</v>
      </c>
      <c r="F48" s="247">
        <f t="shared" si="8"/>
        <v>100</v>
      </c>
      <c r="H48" s="312">
        <v>20</v>
      </c>
      <c r="I48" s="312"/>
      <c r="J48" s="50"/>
      <c r="K48" s="247">
        <f t="shared" si="9"/>
        <v>0</v>
      </c>
      <c r="O48" s="248"/>
      <c r="P48" s="248"/>
      <c r="Q48" s="248"/>
      <c r="R48" s="248"/>
      <c r="S48" s="330"/>
      <c r="T48" s="330"/>
      <c r="U48" s="330"/>
      <c r="V48" s="331">
        <f>SUM(V45:V47)</f>
        <v>341.5</v>
      </c>
      <c r="W48" s="331"/>
      <c r="X48" s="331"/>
    </row>
    <row r="49" spans="3:24" ht="33" customHeight="1">
      <c r="C49" s="311">
        <v>200</v>
      </c>
      <c r="D49" s="311"/>
      <c r="E49" s="50">
        <v>1</v>
      </c>
      <c r="F49" s="247">
        <f t="shared" si="8"/>
        <v>200</v>
      </c>
      <c r="H49" s="312">
        <v>50</v>
      </c>
      <c r="I49" s="312"/>
      <c r="J49" s="50"/>
      <c r="K49" s="247">
        <f t="shared" si="9"/>
        <v>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3</v>
      </c>
      <c r="F50" s="247">
        <f t="shared" si="8"/>
        <v>1500</v>
      </c>
      <c r="H50" s="312">
        <v>100</v>
      </c>
      <c r="I50" s="312"/>
      <c r="J50" s="50">
        <v>1</v>
      </c>
      <c r="K50" s="247">
        <f t="shared" si="9"/>
        <v>100</v>
      </c>
    </row>
    <row r="51" spans="3:24" ht="33" customHeight="1">
      <c r="F51" s="250">
        <f>SUM(F45:F50)</f>
        <v>1800</v>
      </c>
      <c r="K51" s="250">
        <f>SUM(K45:K50)</f>
        <v>138</v>
      </c>
    </row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12</v>
      </c>
      <c r="G91" s="230"/>
      <c r="H91" s="238">
        <f>AE7</f>
        <v>0</v>
      </c>
      <c r="I91" s="230"/>
      <c r="J91" s="238">
        <f>F91*D38+H91*F38</f>
        <v>120</v>
      </c>
      <c r="K91" s="230"/>
      <c r="L91" s="21"/>
      <c r="M91" s="238">
        <f>AD23</f>
        <v>3</v>
      </c>
      <c r="N91" s="230"/>
      <c r="O91" s="254">
        <f>AE23</f>
        <v>0</v>
      </c>
      <c r="P91" s="230"/>
      <c r="Q91" s="238">
        <f>M91*H38+O91*F38</f>
        <v>60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9</v>
      </c>
      <c r="G92" s="230"/>
      <c r="H92" s="238">
        <f>AE8</f>
        <v>0</v>
      </c>
      <c r="I92" s="230"/>
      <c r="J92" s="238">
        <f>F92*D39+H92*F39</f>
        <v>108</v>
      </c>
      <c r="K92" s="230"/>
      <c r="L92" s="21"/>
      <c r="M92" s="238">
        <f>AD24</f>
        <v>1</v>
      </c>
      <c r="N92" s="230"/>
      <c r="O92" s="254">
        <f>AE24</f>
        <v>0</v>
      </c>
      <c r="P92" s="230"/>
      <c r="Q92" s="238">
        <f>M92*H39+O92*F39</f>
        <v>24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21</v>
      </c>
      <c r="G96" s="230"/>
      <c r="H96" s="266">
        <f>SUM(H91:H94)</f>
        <v>0</v>
      </c>
      <c r="I96" s="230"/>
      <c r="J96" s="265" t="e">
        <f>SUM(J91:K95)</f>
        <v>#REF!</v>
      </c>
      <c r="K96" s="230"/>
      <c r="L96" s="21"/>
      <c r="M96" s="265">
        <f>SUM(M91:M94)</f>
        <v>4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25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3.5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11" spans="3:38" ht="33" customHeight="1">
      <c r="AL111" s="2"/>
    </row>
    <row r="122" spans="5:11" ht="33" customHeight="1">
      <c r="E122" s="313" t="s">
        <v>65</v>
      </c>
      <c r="F122" s="314"/>
      <c r="G122" s="314"/>
      <c r="H122" s="315"/>
      <c r="I122" s="280">
        <f>SUM(AN3:AN17)</f>
        <v>3.5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0">F125*E125</f>
        <v>0</v>
      </c>
      <c r="H125" s="17"/>
      <c r="I125" s="45">
        <v>1</v>
      </c>
      <c r="J125" s="45"/>
      <c r="K125" s="45">
        <f t="shared" ref="K125:K130" si="11">J125*I125</f>
        <v>0</v>
      </c>
    </row>
    <row r="126" spans="5:11" ht="33" customHeight="1">
      <c r="E126" s="45">
        <v>10</v>
      </c>
      <c r="F126" s="45"/>
      <c r="G126" s="45">
        <f t="shared" si="10"/>
        <v>0</v>
      </c>
      <c r="H126" s="17"/>
      <c r="I126" s="45">
        <v>5</v>
      </c>
      <c r="J126" s="45">
        <v>1</v>
      </c>
      <c r="K126" s="45">
        <f t="shared" si="11"/>
        <v>5</v>
      </c>
    </row>
    <row r="127" spans="5:11" ht="33" customHeight="1">
      <c r="E127" s="48">
        <v>20</v>
      </c>
      <c r="F127" s="48"/>
      <c r="G127" s="48">
        <f t="shared" si="10"/>
        <v>0</v>
      </c>
      <c r="H127" s="17"/>
      <c r="I127" s="45">
        <v>10</v>
      </c>
      <c r="J127" s="45"/>
      <c r="K127" s="45">
        <f t="shared" si="11"/>
        <v>0</v>
      </c>
    </row>
    <row r="128" spans="5:11" ht="33" customHeight="1">
      <c r="E128" s="48">
        <v>50</v>
      </c>
      <c r="F128" s="48"/>
      <c r="G128" s="48">
        <f t="shared" si="10"/>
        <v>0</v>
      </c>
      <c r="H128" s="17"/>
      <c r="I128" s="45">
        <v>20</v>
      </c>
      <c r="J128" s="45"/>
      <c r="K128" s="45">
        <f t="shared" si="11"/>
        <v>0</v>
      </c>
    </row>
    <row r="129" spans="5:11" ht="33" customHeight="1">
      <c r="E129" s="48">
        <v>100</v>
      </c>
      <c r="F129" s="48"/>
      <c r="G129" s="48">
        <f t="shared" si="10"/>
        <v>0</v>
      </c>
      <c r="H129" s="21"/>
      <c r="I129" s="48">
        <v>50</v>
      </c>
      <c r="J129" s="48">
        <v>1</v>
      </c>
      <c r="K129" s="48">
        <f t="shared" si="11"/>
        <v>50</v>
      </c>
    </row>
    <row r="130" spans="5:11" ht="33" customHeight="1">
      <c r="E130" s="49">
        <v>200</v>
      </c>
      <c r="F130" s="49"/>
      <c r="G130" s="49">
        <f t="shared" si="10"/>
        <v>0</v>
      </c>
      <c r="H130" s="21"/>
      <c r="I130" s="48">
        <v>100</v>
      </c>
      <c r="J130" s="48"/>
      <c r="K130" s="48">
        <f t="shared" si="11"/>
        <v>0</v>
      </c>
    </row>
    <row r="131" spans="5:11" ht="33" customHeight="1">
      <c r="E131" s="50">
        <v>500</v>
      </c>
      <c r="F131" s="50"/>
      <c r="G131" s="50">
        <f t="shared" si="10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</sheetData>
  <mergeCells count="113">
    <mergeCell ref="AP1:AS1"/>
    <mergeCell ref="F1:J1"/>
    <mergeCell ref="K1:L1"/>
    <mergeCell ref="M1:Q1"/>
    <mergeCell ref="AK1:AN1"/>
    <mergeCell ref="B2:D2"/>
    <mergeCell ref="F2:L2"/>
    <mergeCell ref="M2:O2"/>
    <mergeCell ref="P2:Q2"/>
    <mergeCell ref="B4:AC4"/>
    <mergeCell ref="U37:V37"/>
    <mergeCell ref="AE6:AH6"/>
    <mergeCell ref="B20:AC20"/>
    <mergeCell ref="AE22:AH22"/>
    <mergeCell ref="AK29:AN29"/>
    <mergeCell ref="A36:I36"/>
    <mergeCell ref="O36:R36"/>
    <mergeCell ref="S36:V36"/>
    <mergeCell ref="Z36:AE36"/>
    <mergeCell ref="AF36:AG36"/>
    <mergeCell ref="Q39:R39"/>
    <mergeCell ref="S39:T39"/>
    <mergeCell ref="U39:V39"/>
    <mergeCell ref="Z37:AE37"/>
    <mergeCell ref="AF37:AG37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Z38:AE38"/>
    <mergeCell ref="AF38:AG38"/>
    <mergeCell ref="A37:C37"/>
    <mergeCell ref="D37:E37"/>
    <mergeCell ref="F37:G37"/>
    <mergeCell ref="H37:I37"/>
    <mergeCell ref="L37:N37"/>
    <mergeCell ref="O37:P37"/>
    <mergeCell ref="Q37:R37"/>
    <mergeCell ref="S37:T37"/>
    <mergeCell ref="L41:N41"/>
    <mergeCell ref="O41:P41"/>
    <mergeCell ref="Q41:R41"/>
    <mergeCell ref="S41:T41"/>
    <mergeCell ref="U41:V41"/>
    <mergeCell ref="Z39:AE39"/>
    <mergeCell ref="AF39:AG39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Z40:AE40"/>
    <mergeCell ref="AF40:AG40"/>
    <mergeCell ref="A39:C39"/>
    <mergeCell ref="D39:E39"/>
    <mergeCell ref="F39:G39"/>
    <mergeCell ref="H39:I39"/>
    <mergeCell ref="L39:N39"/>
    <mergeCell ref="O39:P39"/>
    <mergeCell ref="Z41:AE41"/>
    <mergeCell ref="AF41:AG41"/>
    <mergeCell ref="O42:P42"/>
    <mergeCell ref="Q42:R42"/>
    <mergeCell ref="S42:T42"/>
    <mergeCell ref="U42:V42"/>
    <mergeCell ref="Z42:AE42"/>
    <mergeCell ref="AF42:AG42"/>
    <mergeCell ref="AF43:AG43"/>
    <mergeCell ref="O47:R47"/>
    <mergeCell ref="S47:U47"/>
    <mergeCell ref="V47:X47"/>
    <mergeCell ref="C48:D48"/>
    <mergeCell ref="H48:I48"/>
    <mergeCell ref="S48:U48"/>
    <mergeCell ref="V48:X48"/>
    <mergeCell ref="C44:F44"/>
    <mergeCell ref="H44:K44"/>
    <mergeCell ref="O44:X44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A5:A6"/>
    <mergeCell ref="A21:A22"/>
    <mergeCell ref="C47:D47"/>
    <mergeCell ref="H47:I47"/>
    <mergeCell ref="A41:C41"/>
    <mergeCell ref="D41:E41"/>
    <mergeCell ref="F41:G41"/>
    <mergeCell ref="H41:I41"/>
  </mergeCells>
  <printOptions horizontalCentered="1"/>
  <pageMargins left="0.31496062992126" right="0.31496062992126" top="0.15748031496063" bottom="0.3543307086614170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topLeftCell="A25" workbookViewId="0">
      <selection activeCell="F18" sqref="F18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5.44140625" bestFit="1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+LUNES!P2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LUNES!F1</f>
        <v>46237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+LUNES!I98</f>
        <v>25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LUNES!AF37*D5</f>
        <v>277680</v>
      </c>
      <c r="D9" s="129">
        <f>+C9/D5</f>
        <v>312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LUNES!AF38*'CIERRE LUNES'!D5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LUNES!AF40*'CIERRE LUNES'!D5</f>
        <v>8455</v>
      </c>
      <c r="D11" s="129">
        <f>+C11/D5</f>
        <v>9.5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LUNES!AF39*'CIERRE LUNES'!D5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286135</v>
      </c>
      <c r="D15" s="129">
        <f>+C15/D5</f>
        <v>321.5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27" t="s">
        <v>73</v>
      </c>
      <c r="C17" s="428"/>
      <c r="D17" s="4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LUNES!S47</f>
        <v>138</v>
      </c>
      <c r="D19" s="133">
        <f>+C19</f>
        <v>138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LUNES!S45</f>
        <v>1800</v>
      </c>
      <c r="D20" s="133">
        <f>+C20/D5</f>
        <v>2.0224719101123596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LUNES!S46</f>
        <v>179315</v>
      </c>
      <c r="D21" s="133">
        <f>+C21/D5</f>
        <v>201.47752808988764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138</v>
      </c>
      <c r="D23" s="135">
        <f>SUM(D19:D22)</f>
        <v>341.5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1800</v>
      </c>
      <c r="D24" s="65">
        <f>D23-D15</f>
        <v>20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304" t="s">
        <v>82</v>
      </c>
      <c r="C26" s="305" t="s">
        <v>83</v>
      </c>
      <c r="D26" s="305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1800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138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138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1800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30" t="s">
        <v>91</v>
      </c>
      <c r="C41" s="431"/>
      <c r="D41" s="43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33"/>
      <c r="C42" s="434"/>
      <c r="D42" s="43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33"/>
      <c r="C43" s="434"/>
      <c r="D43" s="43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36"/>
      <c r="C44" s="437"/>
      <c r="D44" s="43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T1001"/>
  <sheetViews>
    <sheetView zoomScale="55" zoomScaleNormal="55" workbookViewId="0">
      <selection activeCell="D5" sqref="D5"/>
    </sheetView>
  </sheetViews>
  <sheetFormatPr baseColWidth="10" defaultColWidth="5.6640625" defaultRowHeight="15" customHeight="1"/>
  <cols>
    <col min="1" max="1" width="23.88671875" customWidth="1"/>
    <col min="4" max="4" width="8.5546875" customWidth="1"/>
    <col min="6" max="6" width="8.5546875" customWidth="1"/>
    <col min="9" max="9" width="8.554687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0.33203125" customWidth="1"/>
    <col min="38" max="38" width="10.5546875" customWidth="1"/>
    <col min="39" max="39" width="11.6640625" customWidth="1"/>
    <col min="40" max="40" width="12.6640625" customWidth="1"/>
    <col min="41" max="41" width="14" customWidth="1"/>
    <col min="42" max="42" width="25.44140625" bestFit="1" customWidth="1"/>
    <col min="43" max="43" width="9.6640625" bestFit="1" customWidth="1"/>
    <col min="44" max="44" width="8.88671875" customWidth="1"/>
    <col min="45" max="45" width="9.6640625" bestFit="1" customWidth="1"/>
  </cols>
  <sheetData>
    <row r="1" spans="1:45" ht="33" customHeight="1">
      <c r="B1" s="191"/>
      <c r="C1" s="291" t="s">
        <v>0</v>
      </c>
      <c r="D1" s="292"/>
      <c r="E1" s="292"/>
      <c r="F1" s="412">
        <v>46238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B2" s="440" t="s">
        <v>4</v>
      </c>
      <c r="C2" s="441"/>
      <c r="D2" s="441"/>
      <c r="E2" s="441"/>
      <c r="F2" s="419" t="s">
        <v>216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42">
        <v>890</v>
      </c>
      <c r="Q2" s="443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393" t="s">
        <v>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5"/>
      <c r="AD4" s="27"/>
      <c r="AK4" s="155" t="s">
        <v>182</v>
      </c>
      <c r="AL4" s="156">
        <v>2</v>
      </c>
      <c r="AM4" s="157">
        <v>2</v>
      </c>
      <c r="AN4" s="158">
        <f t="shared" ref="AN4:AN26" si="0">AM4*AL4</f>
        <v>4</v>
      </c>
      <c r="AP4" s="155" t="s">
        <v>209</v>
      </c>
      <c r="AQ4" s="156">
        <v>2.5</v>
      </c>
      <c r="AR4" s="157"/>
      <c r="AS4" s="158">
        <f t="shared" ref="AS4:AS26" si="1">AR4*AQ4</f>
        <v>0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200" t="s">
        <v>15</v>
      </c>
      <c r="AK6" s="155" t="s">
        <v>192</v>
      </c>
      <c r="AL6" s="156">
        <v>2</v>
      </c>
      <c r="AM6" s="157"/>
      <c r="AN6" s="158">
        <f t="shared" si="0"/>
        <v>0</v>
      </c>
      <c r="AP6" s="155" t="s">
        <v>210</v>
      </c>
      <c r="AQ6" s="156">
        <v>1</v>
      </c>
      <c r="AR6" s="157"/>
      <c r="AS6" s="158">
        <f t="shared" si="1"/>
        <v>0</v>
      </c>
    </row>
    <row r="7" spans="1:45" ht="33" customHeight="1">
      <c r="A7" s="169" t="s">
        <v>16</v>
      </c>
      <c r="B7" s="286"/>
      <c r="C7" s="286"/>
      <c r="D7" s="170">
        <v>1</v>
      </c>
      <c r="E7" s="170">
        <v>1</v>
      </c>
      <c r="F7" s="170">
        <v>1</v>
      </c>
      <c r="G7" s="170">
        <v>1</v>
      </c>
      <c r="H7" s="170">
        <v>1</v>
      </c>
      <c r="I7" s="170">
        <v>1</v>
      </c>
      <c r="J7" s="170"/>
      <c r="K7" s="170">
        <v>1</v>
      </c>
      <c r="L7" s="170"/>
      <c r="M7" s="170">
        <v>1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87"/>
      <c r="AC7" s="281"/>
      <c r="AD7" s="172">
        <f>+C18+D18+F18+J18+L18+M18</f>
        <v>10</v>
      </c>
      <c r="AE7" s="173"/>
      <c r="AF7" s="174"/>
      <c r="AG7" s="175"/>
      <c r="AH7" s="175"/>
      <c r="AI7" s="176">
        <f t="shared" ref="AI7:AI10" si="2">SUM(AE7:AH7)</f>
        <v>0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/>
      <c r="AS7" s="158">
        <f t="shared" si="1"/>
        <v>0</v>
      </c>
    </row>
    <row r="8" spans="1:45" ht="33" customHeight="1">
      <c r="A8" s="309" t="s">
        <v>18</v>
      </c>
      <c r="B8" s="286"/>
      <c r="C8" s="286"/>
      <c r="D8" s="170">
        <v>1</v>
      </c>
      <c r="E8" s="170">
        <v>1</v>
      </c>
      <c r="F8" s="170">
        <v>1</v>
      </c>
      <c r="G8" s="170">
        <v>1</v>
      </c>
      <c r="H8" s="170"/>
      <c r="I8" s="170">
        <v>1</v>
      </c>
      <c r="J8" s="170"/>
      <c r="K8" s="170"/>
      <c r="L8" s="170"/>
      <c r="M8" s="170">
        <v>1</v>
      </c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87"/>
      <c r="AC8" s="281"/>
      <c r="AD8" s="172">
        <f>+B18+E18+G18+H18+I18+K18</f>
        <v>10</v>
      </c>
      <c r="AE8" s="172"/>
      <c r="AF8" s="174"/>
      <c r="AG8" s="175"/>
      <c r="AH8" s="175"/>
      <c r="AI8" s="176">
        <f t="shared" si="2"/>
        <v>0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81"/>
      <c r="B9" s="208"/>
      <c r="C9" s="208"/>
      <c r="D9" s="179">
        <v>1</v>
      </c>
      <c r="E9" s="179">
        <v>1</v>
      </c>
      <c r="F9" s="179">
        <v>1</v>
      </c>
      <c r="G9" s="179"/>
      <c r="H9" s="179"/>
      <c r="I9" s="179"/>
      <c r="J9" s="179"/>
      <c r="K9" s="179"/>
      <c r="L9" s="179"/>
      <c r="M9" s="179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09"/>
      <c r="AC9" s="210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>
        <v>1</v>
      </c>
      <c r="AN9" s="158">
        <f t="shared" si="0"/>
        <v>4.5</v>
      </c>
      <c r="AP9" s="155" t="s">
        <v>19</v>
      </c>
      <c r="AQ9" s="156">
        <v>1</v>
      </c>
      <c r="AR9" s="157"/>
      <c r="AS9" s="158">
        <f t="shared" si="1"/>
        <v>0</v>
      </c>
    </row>
    <row r="10" spans="1:45" ht="33" customHeight="1">
      <c r="A10" s="181"/>
      <c r="B10" s="190"/>
      <c r="C10" s="190"/>
      <c r="D10" s="182"/>
      <c r="E10" s="182">
        <v>1</v>
      </c>
      <c r="F10" s="182">
        <v>1</v>
      </c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90"/>
      <c r="AC10" s="190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/>
      <c r="AS10" s="158">
        <f t="shared" si="1"/>
        <v>0</v>
      </c>
    </row>
    <row r="11" spans="1:45" ht="33" customHeight="1">
      <c r="A11" s="183"/>
      <c r="B11" s="296"/>
      <c r="C11" s="296"/>
      <c r="D11" s="184"/>
      <c r="E11" s="184"/>
      <c r="F11" s="184">
        <v>1</v>
      </c>
      <c r="G11" s="184"/>
      <c r="H11" s="184"/>
      <c r="I11" s="184"/>
      <c r="J11" s="184"/>
      <c r="K11" s="184"/>
      <c r="L11" s="184"/>
      <c r="M11" s="184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13"/>
      <c r="AC11" s="213"/>
      <c r="AD11" s="185">
        <f>SUM(AD7:AD10)</f>
        <v>20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/>
      <c r="AN11" s="158">
        <f t="shared" si="0"/>
        <v>0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</v>
      </c>
      <c r="AM12" s="157">
        <v>2</v>
      </c>
      <c r="AN12" s="158">
        <f t="shared" si="0"/>
        <v>4</v>
      </c>
      <c r="AP12" s="155"/>
      <c r="AQ12" s="156"/>
      <c r="AR12" s="157"/>
      <c r="AS12" s="158">
        <f t="shared" si="1"/>
        <v>0</v>
      </c>
    </row>
    <row r="13" spans="1:45" ht="33" customHeight="1">
      <c r="A13" s="71"/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 t="shared" si="0"/>
        <v>0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 t="shared" si="0"/>
        <v>0</v>
      </c>
      <c r="AP15" s="155"/>
      <c r="AQ15" s="156"/>
      <c r="AR15" s="157"/>
      <c r="AS15" s="158">
        <f t="shared" si="1"/>
        <v>0</v>
      </c>
    </row>
    <row r="16" spans="1:45" ht="33" customHeight="1"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/>
      <c r="AN17" s="158">
        <f t="shared" si="0"/>
        <v>0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0</v>
      </c>
      <c r="C18" s="197">
        <f t="shared" si="3"/>
        <v>0</v>
      </c>
      <c r="D18" s="197">
        <f t="shared" si="3"/>
        <v>3</v>
      </c>
      <c r="E18" s="197">
        <f t="shared" si="3"/>
        <v>4</v>
      </c>
      <c r="F18" s="197">
        <f t="shared" si="3"/>
        <v>5</v>
      </c>
      <c r="G18" s="197">
        <f t="shared" si="3"/>
        <v>2</v>
      </c>
      <c r="H18" s="197">
        <f t="shared" si="3"/>
        <v>1</v>
      </c>
      <c r="I18" s="197">
        <f t="shared" si="3"/>
        <v>2</v>
      </c>
      <c r="J18" s="197">
        <f t="shared" si="3"/>
        <v>0</v>
      </c>
      <c r="K18" s="197">
        <f t="shared" si="3"/>
        <v>1</v>
      </c>
      <c r="L18" s="197">
        <f t="shared" si="3"/>
        <v>0</v>
      </c>
      <c r="M18" s="197">
        <f t="shared" si="3"/>
        <v>2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>
        <v>1</v>
      </c>
      <c r="AN18" s="158">
        <f t="shared" si="0"/>
        <v>2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393" t="s">
        <v>184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5"/>
      <c r="AD20" s="27"/>
      <c r="AK20" s="195" t="s">
        <v>203</v>
      </c>
      <c r="AL20" s="156">
        <v>2</v>
      </c>
      <c r="AM20" s="199"/>
      <c r="AN20" s="158">
        <f t="shared" si="0"/>
        <v>0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200" t="s">
        <v>15</v>
      </c>
      <c r="AK22" s="195" t="s">
        <v>205</v>
      </c>
      <c r="AL22" s="156">
        <v>1</v>
      </c>
      <c r="AM22" s="199">
        <v>1</v>
      </c>
      <c r="AN22" s="158">
        <f t="shared" si="0"/>
        <v>1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286">
        <v>1</v>
      </c>
      <c r="C23" s="286">
        <v>1</v>
      </c>
      <c r="D23" s="286"/>
      <c r="E23" s="286"/>
      <c r="F23" s="286"/>
      <c r="G23" s="286"/>
      <c r="H23" s="286"/>
      <c r="I23" s="286"/>
      <c r="J23" s="286">
        <v>1</v>
      </c>
      <c r="K23" s="286"/>
      <c r="L23" s="286">
        <v>1</v>
      </c>
      <c r="M23" s="286">
        <v>1</v>
      </c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1"/>
      <c r="AD23" s="203">
        <f>+C34+D34+F34+J34+L34+M34</f>
        <v>4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>
        <v>1</v>
      </c>
      <c r="AN23" s="158">
        <f t="shared" si="0"/>
        <v>2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309" t="s">
        <v>18</v>
      </c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1"/>
      <c r="AD24" s="203">
        <f>+B34+E34+G34+H34+I34+K34</f>
        <v>1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/>
      <c r="AN24" s="158">
        <f t="shared" si="0"/>
        <v>0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81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/>
      <c r="AN25" s="158">
        <f t="shared" si="0"/>
        <v>0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>
        <f>R34+S34</f>
        <v>0</v>
      </c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/>
      <c r="AN26" s="158">
        <f t="shared" si="0"/>
        <v>0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5</v>
      </c>
      <c r="AE27" s="215"/>
      <c r="AF27" s="215"/>
      <c r="AG27" s="216"/>
      <c r="AH27" s="216"/>
      <c r="AI27" s="216"/>
      <c r="AJ27"/>
      <c r="AN27" s="217">
        <f>SUM(AN3:AN26)</f>
        <v>17.5</v>
      </c>
      <c r="AS27" s="217">
        <f>SUM(AS3:AS26)</f>
        <v>0</v>
      </c>
      <c r="AT27" s="211"/>
    </row>
    <row r="28" spans="1:46" s="147" customFormat="1" ht="33" customHeight="1">
      <c r="A28" s="188"/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4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1</v>
      </c>
      <c r="C34" s="197">
        <f t="shared" si="6"/>
        <v>1</v>
      </c>
      <c r="D34" s="197">
        <f t="shared" si="6"/>
        <v>0</v>
      </c>
      <c r="E34" s="197">
        <f t="shared" si="6"/>
        <v>0</v>
      </c>
      <c r="F34" s="197">
        <f t="shared" si="6"/>
        <v>0</v>
      </c>
      <c r="G34" s="197">
        <f t="shared" si="6"/>
        <v>0</v>
      </c>
      <c r="H34" s="197">
        <f t="shared" si="6"/>
        <v>0</v>
      </c>
      <c r="I34" s="197">
        <f t="shared" si="6"/>
        <v>0</v>
      </c>
      <c r="J34" s="197">
        <f t="shared" si="6"/>
        <v>1</v>
      </c>
      <c r="K34" s="197">
        <f t="shared" si="6"/>
        <v>0</v>
      </c>
      <c r="L34" s="197">
        <f t="shared" si="6"/>
        <v>1</v>
      </c>
      <c r="M34" s="197">
        <f t="shared" si="6"/>
        <v>1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02" t="s">
        <v>28</v>
      </c>
      <c r="B36" s="403"/>
      <c r="C36" s="403"/>
      <c r="D36" s="403"/>
      <c r="E36" s="403"/>
      <c r="F36" s="403"/>
      <c r="G36" s="403"/>
      <c r="H36" s="403"/>
      <c r="I36" s="404"/>
      <c r="O36" s="405" t="s">
        <v>29</v>
      </c>
      <c r="P36" s="406"/>
      <c r="Q36" s="406"/>
      <c r="R36" s="407"/>
      <c r="S36" s="405" t="s">
        <v>185</v>
      </c>
      <c r="T36" s="406"/>
      <c r="U36" s="408"/>
      <c r="V36" s="409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25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324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10</v>
      </c>
      <c r="P38" s="348"/>
      <c r="Q38" s="347">
        <f>AI7+AI23</f>
        <v>0</v>
      </c>
      <c r="R38" s="348"/>
      <c r="S38" s="347">
        <f>AD23</f>
        <v>4</v>
      </c>
      <c r="T38" s="348"/>
      <c r="U38" s="355">
        <f>S38*H38+O38*D38+Q38*F38</f>
        <v>180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10</v>
      </c>
      <c r="P39" s="348"/>
      <c r="Q39" s="347">
        <f>AI8</f>
        <v>0</v>
      </c>
      <c r="R39" s="348"/>
      <c r="S39" s="347">
        <f>AD24</f>
        <v>1</v>
      </c>
      <c r="T39" s="348"/>
      <c r="U39" s="355">
        <f t="shared" ref="U39:U41" si="7">S39*H39+O39*D39+Q39*F39</f>
        <v>144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364"/>
      <c r="E40" s="365"/>
      <c r="F40" s="364"/>
      <c r="G40" s="365"/>
      <c r="H40" s="364"/>
      <c r="I40" s="365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7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17.5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324"/>
      <c r="E41" s="325"/>
      <c r="F41" s="324"/>
      <c r="G41" s="325"/>
      <c r="H41" s="324"/>
      <c r="I41" s="325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7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341.5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20</v>
      </c>
      <c r="P42" s="348"/>
      <c r="Q42" s="347">
        <f t="shared" ref="Q42" si="8">SUM(Q38:R41)</f>
        <v>0</v>
      </c>
      <c r="R42" s="348"/>
      <c r="S42" s="347">
        <f t="shared" ref="S42" si="9">SUM(S38:T41)</f>
        <v>5</v>
      </c>
      <c r="T42" s="348"/>
      <c r="U42" s="347">
        <f>SUM(U38:V41)</f>
        <v>324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342.48314606741576</v>
      </c>
      <c r="AG42" s="315"/>
      <c r="AL42" s="2"/>
    </row>
    <row r="43" spans="1:46" ht="33" customHeight="1">
      <c r="AF43" s="351">
        <f>AF42-AF41</f>
        <v>0.98314606741575972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/>
      <c r="F45" s="247">
        <f>E45*C45</f>
        <v>0</v>
      </c>
      <c r="H45" s="312">
        <v>1</v>
      </c>
      <c r="I45" s="312"/>
      <c r="J45" s="247"/>
      <c r="K45" s="247">
        <f>J45*H45</f>
        <v>0</v>
      </c>
      <c r="O45" s="337" t="s">
        <v>49</v>
      </c>
      <c r="P45" s="337"/>
      <c r="Q45" s="337"/>
      <c r="R45" s="337"/>
      <c r="S45" s="338">
        <f>F51</f>
        <v>4040</v>
      </c>
      <c r="T45" s="338"/>
      <c r="U45" s="338"/>
      <c r="V45" s="339">
        <f>S45/P2</f>
        <v>4.5393258426966296</v>
      </c>
      <c r="W45" s="339"/>
      <c r="X45" s="339"/>
    </row>
    <row r="46" spans="1:46" ht="33" customHeight="1">
      <c r="C46" s="311">
        <v>20</v>
      </c>
      <c r="D46" s="311"/>
      <c r="E46" s="247">
        <v>2</v>
      </c>
      <c r="F46" s="247">
        <f t="shared" ref="F46:F50" si="10">E46*C46</f>
        <v>40</v>
      </c>
      <c r="H46" s="312">
        <v>5</v>
      </c>
      <c r="I46" s="312"/>
      <c r="J46" s="247">
        <v>1</v>
      </c>
      <c r="K46" s="247">
        <f t="shared" ref="K46:K50" si="11">J46*H46</f>
        <v>5</v>
      </c>
      <c r="O46" s="326" t="s">
        <v>50</v>
      </c>
      <c r="P46" s="326"/>
      <c r="Q46" s="326"/>
      <c r="R46" s="326"/>
      <c r="S46" s="340">
        <v>153920</v>
      </c>
      <c r="T46" s="341"/>
      <c r="U46" s="342"/>
      <c r="V46" s="329">
        <f>S46/P2</f>
        <v>172.9438202247191</v>
      </c>
      <c r="W46" s="329"/>
      <c r="X46" s="329"/>
    </row>
    <row r="47" spans="1:46" ht="33" customHeight="1">
      <c r="C47" s="311">
        <v>50</v>
      </c>
      <c r="D47" s="311"/>
      <c r="E47" s="50"/>
      <c r="F47" s="247">
        <f t="shared" si="10"/>
        <v>0</v>
      </c>
      <c r="H47" s="312">
        <v>10</v>
      </c>
      <c r="I47" s="312"/>
      <c r="J47" s="50">
        <v>1</v>
      </c>
      <c r="K47" s="247">
        <f t="shared" si="11"/>
        <v>10</v>
      </c>
      <c r="O47" s="326" t="s">
        <v>47</v>
      </c>
      <c r="P47" s="326"/>
      <c r="Q47" s="326"/>
      <c r="R47" s="326"/>
      <c r="S47" s="327">
        <f>K51</f>
        <v>165</v>
      </c>
      <c r="T47" s="327"/>
      <c r="U47" s="328"/>
      <c r="V47" s="329">
        <f>S47</f>
        <v>165</v>
      </c>
      <c r="W47" s="329"/>
      <c r="X47" s="329"/>
    </row>
    <row r="48" spans="1:46" ht="33" customHeight="1">
      <c r="C48" s="311">
        <v>100</v>
      </c>
      <c r="D48" s="311"/>
      <c r="E48" s="50"/>
      <c r="F48" s="247">
        <f t="shared" si="10"/>
        <v>0</v>
      </c>
      <c r="H48" s="312">
        <v>20</v>
      </c>
      <c r="I48" s="312"/>
      <c r="J48" s="50"/>
      <c r="K48" s="247">
        <f t="shared" si="11"/>
        <v>0</v>
      </c>
      <c r="O48" s="248"/>
      <c r="P48" s="248"/>
      <c r="Q48" s="248"/>
      <c r="R48" s="248"/>
      <c r="S48" s="439"/>
      <c r="T48" s="439"/>
      <c r="U48" s="439"/>
      <c r="V48" s="331">
        <f>SUM(V45:V47)</f>
        <v>342.48314606741576</v>
      </c>
      <c r="W48" s="331"/>
      <c r="X48" s="331"/>
    </row>
    <row r="49" spans="3:24" ht="33" customHeight="1">
      <c r="C49" s="311">
        <v>200</v>
      </c>
      <c r="D49" s="311"/>
      <c r="E49" s="50"/>
      <c r="F49" s="247">
        <f t="shared" si="10"/>
        <v>0</v>
      </c>
      <c r="H49" s="312">
        <v>50</v>
      </c>
      <c r="I49" s="312"/>
      <c r="J49" s="50">
        <v>1</v>
      </c>
      <c r="K49" s="247">
        <f t="shared" si="11"/>
        <v>50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8</v>
      </c>
      <c r="F50" s="247">
        <f t="shared" si="10"/>
        <v>4000</v>
      </c>
      <c r="H50" s="312">
        <v>100</v>
      </c>
      <c r="I50" s="312"/>
      <c r="J50" s="50">
        <v>1</v>
      </c>
      <c r="K50" s="247">
        <f t="shared" si="11"/>
        <v>100</v>
      </c>
    </row>
    <row r="51" spans="3:24" ht="33" customHeight="1">
      <c r="F51" s="250">
        <f>SUM(F45:F50)</f>
        <v>4040</v>
      </c>
      <c r="K51" s="250">
        <f>SUM(K45:K50)</f>
        <v>165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10</v>
      </c>
      <c r="G91" s="230"/>
      <c r="H91" s="238">
        <f>AE7</f>
        <v>0</v>
      </c>
      <c r="I91" s="230"/>
      <c r="J91" s="238">
        <f>F91*D38+H91*F38</f>
        <v>100</v>
      </c>
      <c r="K91" s="230"/>
      <c r="L91" s="21"/>
      <c r="M91" s="238">
        <f>AD23</f>
        <v>4</v>
      </c>
      <c r="N91" s="230"/>
      <c r="O91" s="254">
        <f>AE23</f>
        <v>0</v>
      </c>
      <c r="P91" s="230"/>
      <c r="Q91" s="238">
        <f>M91*H38+O91*F38</f>
        <v>80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10</v>
      </c>
      <c r="G92" s="230"/>
      <c r="H92" s="238">
        <f>AE8</f>
        <v>0</v>
      </c>
      <c r="I92" s="230"/>
      <c r="J92" s="238">
        <f>F92*D39+H92*F39</f>
        <v>120</v>
      </c>
      <c r="K92" s="230"/>
      <c r="L92" s="21"/>
      <c r="M92" s="238">
        <f>AD24</f>
        <v>1</v>
      </c>
      <c r="N92" s="230"/>
      <c r="O92" s="254">
        <f>AE24</f>
        <v>0</v>
      </c>
      <c r="P92" s="230"/>
      <c r="Q92" s="238">
        <f>M92*H39+O92*F39</f>
        <v>24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20</v>
      </c>
      <c r="G96" s="230"/>
      <c r="H96" s="266">
        <f>SUM(H91:H94)</f>
        <v>0</v>
      </c>
      <c r="I96" s="230"/>
      <c r="J96" s="265" t="e">
        <f>SUM(J91:K95)</f>
        <v>#REF!</v>
      </c>
      <c r="K96" s="230"/>
      <c r="L96" s="21"/>
      <c r="M96" s="265">
        <f>SUM(M91:M94)</f>
        <v>5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25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12.5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12.5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2">
    <mergeCell ref="F1:J1"/>
    <mergeCell ref="K1:L1"/>
    <mergeCell ref="M1:Q1"/>
    <mergeCell ref="AK1:AN1"/>
    <mergeCell ref="B2:E2"/>
    <mergeCell ref="F2:L2"/>
    <mergeCell ref="M2:O2"/>
    <mergeCell ref="P2:Q2"/>
    <mergeCell ref="B4:AC4"/>
    <mergeCell ref="AE6:AH6"/>
    <mergeCell ref="B20:AC20"/>
    <mergeCell ref="AE22:AH22"/>
    <mergeCell ref="AK29:AN29"/>
    <mergeCell ref="A36:I36"/>
    <mergeCell ref="O36:R36"/>
    <mergeCell ref="S36:V36"/>
    <mergeCell ref="Z36:AE36"/>
    <mergeCell ref="AF36:AG36"/>
    <mergeCell ref="A5:A6"/>
    <mergeCell ref="A21:A22"/>
    <mergeCell ref="AF37:AG37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Z38:AE38"/>
    <mergeCell ref="AF38:AG38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U41:V41"/>
    <mergeCell ref="Z39:AE39"/>
    <mergeCell ref="AF39:AG39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Z40:AE40"/>
    <mergeCell ref="AF40:AG40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C47:D47"/>
    <mergeCell ref="H47:I47"/>
    <mergeCell ref="A41:C41"/>
    <mergeCell ref="D41:E41"/>
    <mergeCell ref="F41:G41"/>
    <mergeCell ref="H41:I41"/>
    <mergeCell ref="O47:R47"/>
    <mergeCell ref="C44:F44"/>
    <mergeCell ref="H44:K44"/>
    <mergeCell ref="O44:X44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Q41:R41"/>
    <mergeCell ref="S41:T41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7:U47"/>
    <mergeCell ref="V47:X47"/>
    <mergeCell ref="C48:D48"/>
    <mergeCell ref="H48:I48"/>
    <mergeCell ref="S48:U48"/>
    <mergeCell ref="V48:X48"/>
    <mergeCell ref="Z41:AE41"/>
    <mergeCell ref="AF41:AG41"/>
    <mergeCell ref="S42:T42"/>
    <mergeCell ref="U42:V42"/>
    <mergeCell ref="Z42:AE42"/>
    <mergeCell ref="AF42:AG42"/>
    <mergeCell ref="AF43:AG43"/>
    <mergeCell ref="L41:N41"/>
    <mergeCell ref="O41:P41"/>
  </mergeCells>
  <printOptions horizontalCentered="1"/>
  <pageMargins left="0.118110236220472" right="0.118110236220472" top="0.15748031496063" bottom="0.1574803149606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workbookViewId="0">
      <selection activeCell="D7" sqref="D7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4.6640625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+MARTES!P2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MARTES!F1</f>
        <v>46238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MARTES!AF36</f>
        <v>25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MARTES!AF37*'CIERRE MARTES'!D5</f>
        <v>288360</v>
      </c>
      <c r="D9" s="129">
        <f>C9/D5</f>
        <v>324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MARTES!AF38*'CIERRE MARTES'!D5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MARTES!AF40*'CIERRE MARTES'!D5</f>
        <v>15575</v>
      </c>
      <c r="D11" s="129">
        <f>C11/D5</f>
        <v>17.5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MARTES!AF39*'CIERRE MARTES'!D5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303935</v>
      </c>
      <c r="D15" s="129">
        <f>+C15/D5</f>
        <v>341.5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MARTES!K51</f>
        <v>165</v>
      </c>
      <c r="D19" s="133">
        <f>+C19</f>
        <v>165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MARTES!S45</f>
        <v>4040</v>
      </c>
      <c r="D20" s="133">
        <f>+C20/D5</f>
        <v>4.5393258426966296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MARTES!S46</f>
        <v>153920</v>
      </c>
      <c r="D21" s="133">
        <f>+C21/D5</f>
        <v>172.9438202247191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165</v>
      </c>
      <c r="D23" s="135">
        <f>SUM(D19:D22)</f>
        <v>342.48314606741576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4040</v>
      </c>
      <c r="D24" s="65">
        <f>D23-D15</f>
        <v>0.98314606741575972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4040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165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165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4040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30" t="s">
        <v>91</v>
      </c>
      <c r="C41" s="431"/>
      <c r="D41" s="43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33"/>
      <c r="C42" s="434"/>
      <c r="D42" s="43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33"/>
      <c r="C43" s="434"/>
      <c r="D43" s="43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36"/>
      <c r="C44" s="437"/>
      <c r="D44" s="43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T1001"/>
  <sheetViews>
    <sheetView zoomScale="57" zoomScaleNormal="57" workbookViewId="0">
      <selection activeCell="S47" sqref="S47:U47"/>
    </sheetView>
  </sheetViews>
  <sheetFormatPr baseColWidth="10" defaultColWidth="5.6640625" defaultRowHeight="15" customHeight="1"/>
  <cols>
    <col min="1" max="1" width="23.88671875" customWidth="1"/>
    <col min="4" max="4" width="8.6640625" customWidth="1"/>
    <col min="6" max="6" width="8" customWidth="1"/>
    <col min="9" max="9" width="7.664062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0.33203125" customWidth="1"/>
    <col min="38" max="38" width="10.5546875" customWidth="1"/>
    <col min="39" max="39" width="11.6640625" customWidth="1"/>
    <col min="40" max="40" width="9.5546875" customWidth="1"/>
    <col min="42" max="42" width="23.109375" bestFit="1" customWidth="1"/>
    <col min="43" max="43" width="8.44140625" bestFit="1" customWidth="1"/>
    <col min="44" max="44" width="6.88671875" bestFit="1" customWidth="1"/>
    <col min="45" max="45" width="9.6640625" bestFit="1" customWidth="1"/>
  </cols>
  <sheetData>
    <row r="1" spans="1:45" ht="33" customHeight="1">
      <c r="C1" s="149" t="s">
        <v>0</v>
      </c>
      <c r="D1" s="111"/>
      <c r="E1" s="20"/>
      <c r="F1" s="465" t="s">
        <v>217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C2" s="150" t="s">
        <v>4</v>
      </c>
      <c r="D2" s="111"/>
      <c r="E2" s="20"/>
      <c r="F2" s="466">
        <v>46239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21">
        <v>890</v>
      </c>
      <c r="Q2" s="422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393" t="s">
        <v>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5"/>
      <c r="AD4" s="27"/>
      <c r="AK4" s="155" t="s">
        <v>182</v>
      </c>
      <c r="AL4" s="156">
        <v>2</v>
      </c>
      <c r="AM4" s="157">
        <v>3</v>
      </c>
      <c r="AN4" s="158">
        <f t="shared" ref="AN4:AN26" si="0">AM4*AL4</f>
        <v>6</v>
      </c>
      <c r="AP4" s="155" t="s">
        <v>209</v>
      </c>
      <c r="AQ4" s="156">
        <v>2.5</v>
      </c>
      <c r="AR4" s="157"/>
      <c r="AS4" s="158">
        <f t="shared" ref="AS4:AS26" si="1">AR4*AQ4</f>
        <v>0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168" t="s">
        <v>15</v>
      </c>
      <c r="AK6" s="155" t="s">
        <v>192</v>
      </c>
      <c r="AL6" s="156">
        <v>2</v>
      </c>
      <c r="AM6" s="157">
        <v>1</v>
      </c>
      <c r="AN6" s="158">
        <f t="shared" si="0"/>
        <v>2</v>
      </c>
      <c r="AP6" s="155" t="s">
        <v>210</v>
      </c>
      <c r="AQ6" s="156">
        <v>1</v>
      </c>
      <c r="AR6" s="157"/>
      <c r="AS6" s="158">
        <f t="shared" si="1"/>
        <v>0</v>
      </c>
    </row>
    <row r="7" spans="1:45" ht="33" customHeight="1">
      <c r="A7" s="169" t="s">
        <v>16</v>
      </c>
      <c r="B7" s="286"/>
      <c r="C7" s="286">
        <v>1</v>
      </c>
      <c r="D7" s="287">
        <v>1</v>
      </c>
      <c r="E7" s="287">
        <v>1</v>
      </c>
      <c r="F7" s="287">
        <v>1</v>
      </c>
      <c r="G7" s="287">
        <v>1</v>
      </c>
      <c r="H7" s="287">
        <v>1</v>
      </c>
      <c r="I7" s="287"/>
      <c r="J7" s="287">
        <v>1</v>
      </c>
      <c r="K7" s="287"/>
      <c r="L7" s="287">
        <v>1</v>
      </c>
      <c r="M7" s="287">
        <v>1</v>
      </c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1"/>
      <c r="AD7" s="172">
        <f>+C18+D18+F18+J18+L18+M18</f>
        <v>15</v>
      </c>
      <c r="AE7" s="173"/>
      <c r="AF7" s="174"/>
      <c r="AG7" s="175"/>
      <c r="AH7" s="175"/>
      <c r="AI7" s="176">
        <f t="shared" ref="AI7:AI10" si="2">SUM(AE7:AH7)</f>
        <v>0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/>
      <c r="AS7" s="158">
        <f t="shared" si="1"/>
        <v>0</v>
      </c>
    </row>
    <row r="8" spans="1:45" ht="33" customHeight="1">
      <c r="A8" s="177" t="s">
        <v>41</v>
      </c>
      <c r="B8" s="286"/>
      <c r="C8" s="286">
        <v>1</v>
      </c>
      <c r="D8" s="287">
        <v>1</v>
      </c>
      <c r="E8" s="287">
        <v>1</v>
      </c>
      <c r="F8" s="287">
        <v>1</v>
      </c>
      <c r="G8" s="287"/>
      <c r="H8" s="287"/>
      <c r="I8" s="287"/>
      <c r="J8" s="287">
        <v>1</v>
      </c>
      <c r="K8" s="287"/>
      <c r="L8" s="287">
        <v>1</v>
      </c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1"/>
      <c r="AD8" s="172">
        <f>+B18+E18+G18+H18+I18+K18</f>
        <v>4</v>
      </c>
      <c r="AE8" s="172"/>
      <c r="AF8" s="174"/>
      <c r="AG8" s="175"/>
      <c r="AH8" s="175"/>
      <c r="AI8" s="176">
        <f t="shared" si="2"/>
        <v>0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78"/>
      <c r="B9" s="208"/>
      <c r="C9" s="208">
        <v>1</v>
      </c>
      <c r="D9" s="209">
        <v>1</v>
      </c>
      <c r="E9" s="209"/>
      <c r="F9" s="209"/>
      <c r="G9" s="209"/>
      <c r="H9" s="209"/>
      <c r="I9" s="209"/>
      <c r="J9" s="209">
        <v>1</v>
      </c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10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/>
      <c r="AN9" s="158">
        <f t="shared" si="0"/>
        <v>0</v>
      </c>
      <c r="AP9" s="155" t="s">
        <v>19</v>
      </c>
      <c r="AQ9" s="156">
        <v>1</v>
      </c>
      <c r="AR9" s="157">
        <v>1</v>
      </c>
      <c r="AS9" s="158">
        <f t="shared" si="1"/>
        <v>1</v>
      </c>
    </row>
    <row r="10" spans="1:45" ht="33" customHeight="1">
      <c r="A10" s="181"/>
      <c r="B10" s="190"/>
      <c r="C10" s="190">
        <v>1</v>
      </c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/>
      <c r="AS10" s="158">
        <f t="shared" si="1"/>
        <v>0</v>
      </c>
    </row>
    <row r="11" spans="1:45" ht="33" customHeight="1">
      <c r="A11" s="18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185">
        <f>SUM(AD7:AD10)</f>
        <v>19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>
        <v>2</v>
      </c>
      <c r="AN11" s="158">
        <f t="shared" si="0"/>
        <v>6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191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2.6</v>
      </c>
      <c r="AM12" s="157"/>
      <c r="AN12" s="158">
        <f t="shared" si="0"/>
        <v>0</v>
      </c>
      <c r="AP12" s="155"/>
      <c r="AQ12" s="156"/>
      <c r="AR12" s="157"/>
      <c r="AS12" s="158">
        <f t="shared" si="1"/>
        <v>0</v>
      </c>
    </row>
    <row r="13" spans="1:45" ht="33" customHeight="1">
      <c r="A13" s="71"/>
      <c r="B13" s="191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 t="shared" si="0"/>
        <v>0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 t="shared" si="0"/>
        <v>0</v>
      </c>
      <c r="AP15" s="155"/>
      <c r="AQ15" s="156"/>
      <c r="AR15" s="157"/>
      <c r="AS15" s="158">
        <f t="shared" si="1"/>
        <v>0</v>
      </c>
    </row>
    <row r="16" spans="1:45" ht="33" customHeight="1"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/>
      <c r="AN17" s="158">
        <f t="shared" si="0"/>
        <v>0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0</v>
      </c>
      <c r="C18" s="197">
        <f t="shared" si="3"/>
        <v>4</v>
      </c>
      <c r="D18" s="197">
        <f t="shared" si="3"/>
        <v>3</v>
      </c>
      <c r="E18" s="197">
        <f t="shared" si="3"/>
        <v>2</v>
      </c>
      <c r="F18" s="197">
        <f t="shared" si="3"/>
        <v>2</v>
      </c>
      <c r="G18" s="197">
        <f t="shared" si="3"/>
        <v>1</v>
      </c>
      <c r="H18" s="197">
        <f t="shared" si="3"/>
        <v>1</v>
      </c>
      <c r="I18" s="197">
        <f t="shared" si="3"/>
        <v>0</v>
      </c>
      <c r="J18" s="197">
        <f t="shared" si="3"/>
        <v>3</v>
      </c>
      <c r="K18" s="197">
        <f t="shared" si="3"/>
        <v>0</v>
      </c>
      <c r="L18" s="197">
        <f t="shared" si="3"/>
        <v>2</v>
      </c>
      <c r="M18" s="197">
        <f t="shared" si="3"/>
        <v>1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/>
      <c r="AN18" s="158">
        <f t="shared" si="0"/>
        <v>0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393" t="s">
        <v>184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5"/>
      <c r="AD20" s="27"/>
      <c r="AK20" s="195" t="s">
        <v>203</v>
      </c>
      <c r="AL20" s="156">
        <v>2</v>
      </c>
      <c r="AM20" s="199"/>
      <c r="AN20" s="158">
        <f t="shared" si="0"/>
        <v>0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200" t="s">
        <v>15</v>
      </c>
      <c r="AK22" s="195" t="s">
        <v>205</v>
      </c>
      <c r="AL22" s="156">
        <v>1</v>
      </c>
      <c r="AM22" s="199"/>
      <c r="AN22" s="158">
        <f t="shared" si="0"/>
        <v>0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286"/>
      <c r="C23" s="170"/>
      <c r="D23" s="201"/>
      <c r="E23" s="201"/>
      <c r="F23" s="201"/>
      <c r="G23" s="201">
        <v>1</v>
      </c>
      <c r="H23" s="201"/>
      <c r="I23" s="201"/>
      <c r="J23" s="201"/>
      <c r="K23" s="201"/>
      <c r="L23" s="287"/>
      <c r="M23" s="287">
        <v>1</v>
      </c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1"/>
      <c r="AD23" s="203">
        <f>+C34+D34+F34+J34+L34+M34</f>
        <v>1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 t="shared" si="0"/>
        <v>0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177" t="s">
        <v>41</v>
      </c>
      <c r="B24" s="286"/>
      <c r="C24" s="170"/>
      <c r="D24" s="201"/>
      <c r="E24" s="201"/>
      <c r="F24" s="201"/>
      <c r="G24" s="201"/>
      <c r="H24" s="201"/>
      <c r="I24" s="201"/>
      <c r="J24" s="201"/>
      <c r="K24" s="201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1"/>
      <c r="AD24" s="203">
        <f>+B34+E34+G34+H34+I34+K34</f>
        <v>1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/>
      <c r="AN24" s="158">
        <f t="shared" si="0"/>
        <v>0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78"/>
      <c r="B25" s="208"/>
      <c r="C25" s="208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/>
      <c r="AN25" s="158">
        <f t="shared" si="0"/>
        <v>0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>
        <f>R34+S34</f>
        <v>0</v>
      </c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/>
      <c r="AN26" s="158">
        <f t="shared" si="0"/>
        <v>0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2</v>
      </c>
      <c r="AE27" s="215"/>
      <c r="AF27" s="215"/>
      <c r="AG27" s="216"/>
      <c r="AH27" s="216"/>
      <c r="AI27" s="216"/>
      <c r="AJ27"/>
      <c r="AN27" s="217">
        <f>SUM(AN3:AN26)</f>
        <v>14</v>
      </c>
      <c r="AS27" s="217">
        <f>SUM(AS3:AS26)</f>
        <v>1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4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0</v>
      </c>
      <c r="C34" s="197">
        <f t="shared" si="6"/>
        <v>0</v>
      </c>
      <c r="D34" s="197">
        <f t="shared" si="6"/>
        <v>0</v>
      </c>
      <c r="E34" s="197">
        <f t="shared" si="6"/>
        <v>0</v>
      </c>
      <c r="F34" s="197">
        <f t="shared" si="6"/>
        <v>0</v>
      </c>
      <c r="G34" s="197">
        <f t="shared" si="6"/>
        <v>1</v>
      </c>
      <c r="H34" s="197">
        <f t="shared" si="6"/>
        <v>0</v>
      </c>
      <c r="I34" s="197">
        <f t="shared" si="6"/>
        <v>0</v>
      </c>
      <c r="J34" s="197">
        <f t="shared" si="6"/>
        <v>0</v>
      </c>
      <c r="K34" s="197">
        <f t="shared" si="6"/>
        <v>0</v>
      </c>
      <c r="L34" s="197">
        <f t="shared" si="6"/>
        <v>0</v>
      </c>
      <c r="M34" s="197">
        <f t="shared" si="6"/>
        <v>1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57" t="s">
        <v>28</v>
      </c>
      <c r="B36" s="458"/>
      <c r="C36" s="458"/>
      <c r="D36" s="458"/>
      <c r="E36" s="458"/>
      <c r="F36" s="458"/>
      <c r="G36" s="458"/>
      <c r="H36" s="458"/>
      <c r="I36" s="459"/>
      <c r="O36" s="460" t="s">
        <v>29</v>
      </c>
      <c r="P36" s="461"/>
      <c r="Q36" s="461"/>
      <c r="R36" s="462"/>
      <c r="S36" s="460" t="s">
        <v>185</v>
      </c>
      <c r="T36" s="461"/>
      <c r="U36" s="463"/>
      <c r="V36" s="464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21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242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15</v>
      </c>
      <c r="P38" s="348"/>
      <c r="Q38" s="347">
        <f>AI7+AI23</f>
        <v>0</v>
      </c>
      <c r="R38" s="348"/>
      <c r="S38" s="347">
        <f>AD23</f>
        <v>1</v>
      </c>
      <c r="T38" s="348"/>
      <c r="U38" s="455">
        <f>S38*H38+O38*D38+Q38*F38</f>
        <v>170</v>
      </c>
      <c r="V38" s="4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4</v>
      </c>
      <c r="P39" s="348"/>
      <c r="Q39" s="347">
        <f>AI8</f>
        <v>0</v>
      </c>
      <c r="R39" s="348"/>
      <c r="S39" s="347">
        <f>AD24</f>
        <v>1</v>
      </c>
      <c r="T39" s="348"/>
      <c r="U39" s="455">
        <f t="shared" ref="U39:U41" si="7">S39*H39+O39*D39+Q39*F39</f>
        <v>72</v>
      </c>
      <c r="V39" s="4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364"/>
      <c r="E40" s="365"/>
      <c r="F40" s="364"/>
      <c r="G40" s="365"/>
      <c r="H40" s="364"/>
      <c r="I40" s="365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455">
        <f t="shared" si="7"/>
        <v>0</v>
      </c>
      <c r="V40" s="4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15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324"/>
      <c r="E41" s="325"/>
      <c r="F41" s="324"/>
      <c r="G41" s="325"/>
      <c r="H41" s="324"/>
      <c r="I41" s="325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455">
        <f t="shared" si="7"/>
        <v>0</v>
      </c>
      <c r="V41" s="4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257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19</v>
      </c>
      <c r="P42" s="348"/>
      <c r="Q42" s="347">
        <f t="shared" ref="Q42" si="8">SUM(Q38:R41)</f>
        <v>0</v>
      </c>
      <c r="R42" s="348"/>
      <c r="S42" s="347">
        <f t="shared" ref="S42" si="9">SUM(S38:T41)</f>
        <v>2</v>
      </c>
      <c r="T42" s="348"/>
      <c r="U42" s="447">
        <f>SUM(U38:V41)</f>
        <v>242</v>
      </c>
      <c r="V42" s="4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257</v>
      </c>
      <c r="AG42" s="315"/>
      <c r="AL42" s="2"/>
    </row>
    <row r="43" spans="1:46" ht="33" customHeight="1">
      <c r="AF43" s="351">
        <f>AF42-AF41</f>
        <v>0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449"/>
      <c r="W44" s="449"/>
      <c r="X44" s="450"/>
      <c r="AL44" s="2"/>
    </row>
    <row r="45" spans="1:46" ht="33" customHeight="1">
      <c r="C45" s="311">
        <v>10</v>
      </c>
      <c r="D45" s="311"/>
      <c r="E45" s="247"/>
      <c r="F45" s="247">
        <f>E45*C45</f>
        <v>0</v>
      </c>
      <c r="H45" s="312">
        <v>1</v>
      </c>
      <c r="I45" s="312"/>
      <c r="J45" s="247">
        <v>4</v>
      </c>
      <c r="K45" s="247">
        <f>J45*H45</f>
        <v>4</v>
      </c>
      <c r="O45" s="337" t="s">
        <v>49</v>
      </c>
      <c r="P45" s="337"/>
      <c r="Q45" s="337"/>
      <c r="R45" s="337"/>
      <c r="S45" s="454">
        <f>F51</f>
        <v>23140</v>
      </c>
      <c r="T45" s="454"/>
      <c r="U45" s="454"/>
      <c r="V45" s="327">
        <f>S45/P2</f>
        <v>26</v>
      </c>
      <c r="W45" s="327"/>
      <c r="X45" s="327"/>
    </row>
    <row r="46" spans="1:46" ht="33" customHeight="1">
      <c r="C46" s="311">
        <v>20</v>
      </c>
      <c r="D46" s="311"/>
      <c r="E46" s="247">
        <v>2</v>
      </c>
      <c r="F46" s="247">
        <f t="shared" ref="F46:F50" si="10">E46*C46</f>
        <v>40</v>
      </c>
      <c r="H46" s="312">
        <v>5</v>
      </c>
      <c r="I46" s="312"/>
      <c r="J46" s="247">
        <v>1</v>
      </c>
      <c r="K46" s="247">
        <f t="shared" ref="K46:K50" si="11">J46*H46</f>
        <v>5</v>
      </c>
      <c r="O46" s="326" t="s">
        <v>50</v>
      </c>
      <c r="P46" s="326"/>
      <c r="Q46" s="326"/>
      <c r="R46" s="326"/>
      <c r="S46" s="340">
        <v>90780</v>
      </c>
      <c r="T46" s="341"/>
      <c r="U46" s="342"/>
      <c r="V46" s="327">
        <f>S46/P2</f>
        <v>102</v>
      </c>
      <c r="W46" s="327"/>
      <c r="X46" s="327"/>
    </row>
    <row r="47" spans="1:46" ht="33" customHeight="1">
      <c r="C47" s="311">
        <v>50</v>
      </c>
      <c r="D47" s="311"/>
      <c r="E47" s="50"/>
      <c r="F47" s="247">
        <f t="shared" si="10"/>
        <v>0</v>
      </c>
      <c r="H47" s="312">
        <v>10</v>
      </c>
      <c r="I47" s="312"/>
      <c r="J47" s="50"/>
      <c r="K47" s="247">
        <f t="shared" si="11"/>
        <v>0</v>
      </c>
      <c r="L47" t="s">
        <v>218</v>
      </c>
      <c r="O47" s="326" t="s">
        <v>47</v>
      </c>
      <c r="P47" s="326"/>
      <c r="Q47" s="326"/>
      <c r="R47" s="326"/>
      <c r="S47" s="327">
        <f>K51</f>
        <v>129</v>
      </c>
      <c r="T47" s="327"/>
      <c r="U47" s="328"/>
      <c r="V47" s="327">
        <f>S47</f>
        <v>129</v>
      </c>
      <c r="W47" s="327"/>
      <c r="X47" s="327"/>
    </row>
    <row r="48" spans="1:46" ht="33" customHeight="1">
      <c r="C48" s="311">
        <v>100</v>
      </c>
      <c r="D48" s="311"/>
      <c r="E48" s="50">
        <v>1</v>
      </c>
      <c r="F48" s="247">
        <f t="shared" si="10"/>
        <v>100</v>
      </c>
      <c r="H48" s="312">
        <v>20</v>
      </c>
      <c r="I48" s="312"/>
      <c r="J48" s="50">
        <v>1</v>
      </c>
      <c r="K48" s="247">
        <f t="shared" si="11"/>
        <v>20</v>
      </c>
      <c r="O48" s="248"/>
      <c r="P48" s="248"/>
      <c r="Q48" s="248"/>
      <c r="R48" s="248"/>
      <c r="S48" s="330"/>
      <c r="T48" s="330"/>
      <c r="U48" s="330"/>
      <c r="V48" s="451">
        <f>SUM(V45:V47)</f>
        <v>257</v>
      </c>
      <c r="W48" s="452"/>
      <c r="X48" s="453"/>
    </row>
    <row r="49" spans="3:24" ht="33" customHeight="1">
      <c r="C49" s="311">
        <v>200</v>
      </c>
      <c r="D49" s="311"/>
      <c r="E49" s="50"/>
      <c r="F49" s="247">
        <f t="shared" si="10"/>
        <v>0</v>
      </c>
      <c r="H49" s="312">
        <v>50</v>
      </c>
      <c r="I49" s="312"/>
      <c r="J49" s="50"/>
      <c r="K49" s="247">
        <f t="shared" si="11"/>
        <v>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46</v>
      </c>
      <c r="F50" s="50">
        <f t="shared" si="10"/>
        <v>23000</v>
      </c>
      <c r="H50" s="312">
        <v>100</v>
      </c>
      <c r="I50" s="312"/>
      <c r="J50" s="50">
        <v>1</v>
      </c>
      <c r="K50" s="247">
        <f t="shared" si="11"/>
        <v>100</v>
      </c>
    </row>
    <row r="51" spans="3:24" ht="33" customHeight="1">
      <c r="F51" s="250">
        <f>SUM(F45:F50)</f>
        <v>23140</v>
      </c>
      <c r="K51" s="250">
        <f>SUM(K45:K50)</f>
        <v>129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15</v>
      </c>
      <c r="G91" s="230"/>
      <c r="H91" s="238">
        <f>AE7</f>
        <v>0</v>
      </c>
      <c r="I91" s="230"/>
      <c r="J91" s="238">
        <f>F91*D38+H91*F38</f>
        <v>150</v>
      </c>
      <c r="K91" s="230"/>
      <c r="L91" s="21"/>
      <c r="M91" s="238">
        <f>AD23</f>
        <v>1</v>
      </c>
      <c r="N91" s="230"/>
      <c r="O91" s="254">
        <f>AE23</f>
        <v>0</v>
      </c>
      <c r="P91" s="230"/>
      <c r="Q91" s="238">
        <f>M91*H38+O91*F38</f>
        <v>20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4</v>
      </c>
      <c r="G92" s="230"/>
      <c r="H92" s="238">
        <f>AE8</f>
        <v>0</v>
      </c>
      <c r="I92" s="230"/>
      <c r="J92" s="238">
        <f>F92*D39+H92*F39</f>
        <v>48</v>
      </c>
      <c r="K92" s="230"/>
      <c r="L92" s="21"/>
      <c r="M92" s="238">
        <f>AD24</f>
        <v>1</v>
      </c>
      <c r="N92" s="230"/>
      <c r="O92" s="254">
        <f>AE24</f>
        <v>0</v>
      </c>
      <c r="P92" s="230"/>
      <c r="Q92" s="238">
        <f>M92*H39+O92*F39</f>
        <v>24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19</v>
      </c>
      <c r="G96" s="230"/>
      <c r="H96" s="266">
        <f>SUM(H91:H94)</f>
        <v>0</v>
      </c>
      <c r="I96" s="230"/>
      <c r="J96" s="265" t="e">
        <f>SUM(J91:K95)</f>
        <v>#REF!</v>
      </c>
      <c r="K96" s="230"/>
      <c r="L96" s="21"/>
      <c r="M96" s="265">
        <f>SUM(M91:M94)</f>
        <v>2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21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14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14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1">
    <mergeCell ref="F1:J1"/>
    <mergeCell ref="K1:L1"/>
    <mergeCell ref="M1:Q1"/>
    <mergeCell ref="AK1:AN1"/>
    <mergeCell ref="F2:L2"/>
    <mergeCell ref="M2:O2"/>
    <mergeCell ref="P2:Q2"/>
    <mergeCell ref="B4:AC4"/>
    <mergeCell ref="AE6:AH6"/>
    <mergeCell ref="AE22:AH22"/>
    <mergeCell ref="AK29:AN29"/>
    <mergeCell ref="A36:I36"/>
    <mergeCell ref="O36:R36"/>
    <mergeCell ref="S36:V36"/>
    <mergeCell ref="Z36:AE36"/>
    <mergeCell ref="AF36:AG36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AF37:AG37"/>
    <mergeCell ref="Z38:AE38"/>
    <mergeCell ref="AF38:AG38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Z39:AE39"/>
    <mergeCell ref="AF39:AG39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O41:P41"/>
    <mergeCell ref="Q41:R41"/>
    <mergeCell ref="S41:T41"/>
    <mergeCell ref="U41:V41"/>
    <mergeCell ref="Z41:AE41"/>
    <mergeCell ref="AF41:AG41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A5:A6"/>
    <mergeCell ref="A21:A22"/>
    <mergeCell ref="C47:D47"/>
    <mergeCell ref="H47:I47"/>
    <mergeCell ref="B20:AC20"/>
    <mergeCell ref="O47:R47"/>
    <mergeCell ref="S47:U47"/>
    <mergeCell ref="V47:X47"/>
    <mergeCell ref="C48:D48"/>
    <mergeCell ref="H48:I48"/>
    <mergeCell ref="S48:U48"/>
    <mergeCell ref="V48:X48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2:T42"/>
    <mergeCell ref="U42:V42"/>
    <mergeCell ref="Z42:AE42"/>
    <mergeCell ref="AF42:AG42"/>
    <mergeCell ref="AF43:AG43"/>
    <mergeCell ref="C44:F44"/>
    <mergeCell ref="H44:K44"/>
    <mergeCell ref="O44:X44"/>
    <mergeCell ref="Z40:AE40"/>
    <mergeCell ref="AF40:AG40"/>
    <mergeCell ref="A41:C41"/>
    <mergeCell ref="D41:E41"/>
    <mergeCell ref="F41:G41"/>
    <mergeCell ref="H41:I41"/>
    <mergeCell ref="L41:N4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1"/>
  <sheetViews>
    <sheetView workbookViewId="0">
      <selection activeCell="D7" sqref="D7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4.6640625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+MIERCOLES!P2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 t="str">
        <f>MIERCOLES!F1</f>
        <v>DAI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MIERCOLES!AF36</f>
        <v>21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MIERCOLES!AF37*MIERCOLES!P2</f>
        <v>215380</v>
      </c>
      <c r="D9" s="129">
        <f>+C9/D5</f>
        <v>242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+MIERCOLES!AF38*'CIERRE MIERCOLES'!D5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MIERCOLES!AN27*MIERCOLES!P2</f>
        <v>12460</v>
      </c>
      <c r="D11" s="129">
        <f>+C11/D5</f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MIERCOLES!AN37*MIERCOLES!P2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227840</v>
      </c>
      <c r="D15" s="129">
        <f>+C15/D5</f>
        <v>256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MIERCOLES!K51</f>
        <v>129</v>
      </c>
      <c r="D19" s="133">
        <f>+C19</f>
        <v>129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MIERCOLES!F51</f>
        <v>23140</v>
      </c>
      <c r="D20" s="133">
        <f>+C20/D5</f>
        <v>26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MIERCOLES!S46</f>
        <v>90780</v>
      </c>
      <c r="D21" s="133">
        <f>+C21/D5</f>
        <v>102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129</v>
      </c>
      <c r="D23" s="135">
        <f>SUM(D19:D22)</f>
        <v>257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23140</v>
      </c>
      <c r="D24" s="65">
        <f>D23-D15</f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23140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129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129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23140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67"/>
      <c r="C41" s="468"/>
      <c r="D41" s="46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70"/>
      <c r="C42" s="471"/>
      <c r="D42" s="47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70"/>
      <c r="C43" s="471"/>
      <c r="D43" s="47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73"/>
      <c r="C44" s="474"/>
      <c r="D44" s="47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T1001"/>
  <sheetViews>
    <sheetView topLeftCell="A4" zoomScale="53" zoomScaleNormal="53" workbookViewId="0">
      <selection activeCell="E51" sqref="E51"/>
    </sheetView>
  </sheetViews>
  <sheetFormatPr baseColWidth="10" defaultColWidth="5.6640625" defaultRowHeight="15" customHeight="1"/>
  <cols>
    <col min="1" max="1" width="23.88671875" customWidth="1"/>
    <col min="4" max="4" width="8" customWidth="1"/>
    <col min="6" max="6" width="9" customWidth="1"/>
    <col min="9" max="9" width="7" customWidth="1"/>
    <col min="21" max="21" width="6.4414062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0.33203125" customWidth="1"/>
    <col min="38" max="38" width="10.5546875" customWidth="1"/>
    <col min="39" max="39" width="11.6640625" customWidth="1"/>
    <col min="40" max="40" width="13.33203125" customWidth="1"/>
    <col min="42" max="42" width="22.44140625" bestFit="1" customWidth="1"/>
    <col min="43" max="43" width="9" bestFit="1" customWidth="1"/>
    <col min="45" max="45" width="10.109375" bestFit="1" customWidth="1"/>
  </cols>
  <sheetData>
    <row r="1" spans="1:45" ht="33" customHeight="1">
      <c r="C1" s="149" t="s">
        <v>0</v>
      </c>
      <c r="D1" s="111"/>
      <c r="E1" s="20"/>
      <c r="F1" s="465">
        <v>46241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C2" s="150" t="s">
        <v>4</v>
      </c>
      <c r="D2" s="111"/>
      <c r="E2" s="20"/>
      <c r="F2" s="483" t="s">
        <v>215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42">
        <v>890</v>
      </c>
      <c r="Q2" s="443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478" t="s">
        <v>10</v>
      </c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80"/>
      <c r="AD4" s="27"/>
      <c r="AK4" s="155" t="s">
        <v>182</v>
      </c>
      <c r="AL4" s="156">
        <v>2</v>
      </c>
      <c r="AM4" s="157"/>
      <c r="AN4" s="158">
        <f t="shared" ref="AN4:AN26" si="0">AM4*AL4</f>
        <v>0</v>
      </c>
      <c r="AP4" s="155" t="s">
        <v>209</v>
      </c>
      <c r="AQ4" s="156">
        <v>2.5</v>
      </c>
      <c r="AR4" s="157"/>
      <c r="AS4" s="158">
        <f t="shared" ref="AS4:AS26" si="1">AR4*AQ4</f>
        <v>0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289" t="s">
        <v>15</v>
      </c>
      <c r="AK6" s="155" t="s">
        <v>192</v>
      </c>
      <c r="AL6" s="156">
        <v>2</v>
      </c>
      <c r="AM6" s="157"/>
      <c r="AN6" s="158">
        <f t="shared" si="0"/>
        <v>0</v>
      </c>
      <c r="AP6" s="155" t="s">
        <v>210</v>
      </c>
      <c r="AQ6" s="156">
        <v>1</v>
      </c>
      <c r="AR6" s="157"/>
      <c r="AS6" s="158">
        <f t="shared" si="1"/>
        <v>0</v>
      </c>
    </row>
    <row r="7" spans="1:45" ht="33" customHeight="1">
      <c r="A7" s="169" t="s">
        <v>16</v>
      </c>
      <c r="B7" s="170">
        <v>1</v>
      </c>
      <c r="C7" s="170">
        <v>1</v>
      </c>
      <c r="D7" s="201">
        <v>1</v>
      </c>
      <c r="E7" s="201">
        <v>1</v>
      </c>
      <c r="F7" s="201">
        <v>1</v>
      </c>
      <c r="G7" s="201">
        <v>1</v>
      </c>
      <c r="H7" s="201">
        <v>1</v>
      </c>
      <c r="I7" s="201">
        <v>1</v>
      </c>
      <c r="J7" s="201">
        <v>1</v>
      </c>
      <c r="K7" s="201">
        <v>1</v>
      </c>
      <c r="L7" s="201">
        <v>1</v>
      </c>
      <c r="M7" s="201">
        <v>1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/>
      <c r="AD7" s="172">
        <f>+C18+D18+J18+L18+M18+F18</f>
        <v>14</v>
      </c>
      <c r="AE7" s="173"/>
      <c r="AF7" s="174"/>
      <c r="AG7" s="175"/>
      <c r="AH7" s="175"/>
      <c r="AI7" s="176">
        <f t="shared" ref="AI7:AI10" si="2">SUM(AE7:AH7)</f>
        <v>0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/>
      <c r="AS7" s="158">
        <f t="shared" si="1"/>
        <v>0</v>
      </c>
    </row>
    <row r="8" spans="1:45" ht="33" customHeight="1">
      <c r="A8" s="177" t="s">
        <v>41</v>
      </c>
      <c r="B8" s="170"/>
      <c r="C8" s="170"/>
      <c r="D8" s="201">
        <v>1</v>
      </c>
      <c r="E8" s="201"/>
      <c r="F8" s="201">
        <v>1</v>
      </c>
      <c r="G8" s="201">
        <v>1</v>
      </c>
      <c r="H8" s="201">
        <v>1</v>
      </c>
      <c r="I8" s="201"/>
      <c r="J8" s="201">
        <v>1</v>
      </c>
      <c r="K8" s="201"/>
      <c r="L8" s="201">
        <v>1</v>
      </c>
      <c r="M8" s="201">
        <v>1</v>
      </c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/>
      <c r="AD8" s="172">
        <f>+B18+E18+G18+H18+I18+K18</f>
        <v>8</v>
      </c>
      <c r="AE8" s="172"/>
      <c r="AF8" s="174"/>
      <c r="AG8" s="175"/>
      <c r="AH8" s="175"/>
      <c r="AI8" s="176">
        <f t="shared" si="2"/>
        <v>0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78"/>
      <c r="B9" s="179"/>
      <c r="C9" s="179"/>
      <c r="D9" s="282"/>
      <c r="E9" s="282"/>
      <c r="F9" s="282">
        <v>1</v>
      </c>
      <c r="G9" s="282"/>
      <c r="H9" s="282"/>
      <c r="I9" s="282"/>
      <c r="J9" s="282"/>
      <c r="K9" s="282"/>
      <c r="L9" s="282">
        <v>1</v>
      </c>
      <c r="M9" s="282">
        <v>1</v>
      </c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8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/>
      <c r="AN9" s="158">
        <f t="shared" si="0"/>
        <v>0</v>
      </c>
      <c r="AP9" s="155" t="s">
        <v>19</v>
      </c>
      <c r="AQ9" s="156">
        <v>1</v>
      </c>
      <c r="AR9" s="157"/>
      <c r="AS9" s="158">
        <f t="shared" si="1"/>
        <v>0</v>
      </c>
    </row>
    <row r="10" spans="1:45" ht="33" customHeight="1">
      <c r="A10" s="181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/>
      <c r="AS10" s="158">
        <f t="shared" si="1"/>
        <v>0</v>
      </c>
    </row>
    <row r="11" spans="1:45" ht="33" customHeight="1">
      <c r="A11" s="183"/>
      <c r="B11" s="290"/>
      <c r="C11" s="290"/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185">
        <f>SUM(AD7:AD10)</f>
        <v>22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/>
      <c r="AN11" s="158">
        <f t="shared" si="0"/>
        <v>0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191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2.6</v>
      </c>
      <c r="AM12" s="157"/>
      <c r="AN12" s="158">
        <f t="shared" si="0"/>
        <v>0</v>
      </c>
      <c r="AP12" s="155"/>
      <c r="AQ12" s="156"/>
      <c r="AR12" s="157"/>
      <c r="AS12" s="158">
        <f t="shared" si="1"/>
        <v>0</v>
      </c>
    </row>
    <row r="13" spans="1:45" ht="33" customHeight="1">
      <c r="A13" s="71"/>
      <c r="B13" s="191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>
        <v>1</v>
      </c>
      <c r="AN13" s="158">
        <f t="shared" si="0"/>
        <v>1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 t="shared" si="0"/>
        <v>0</v>
      </c>
      <c r="AP15" s="155"/>
      <c r="AQ15" s="156"/>
      <c r="AR15" s="157"/>
      <c r="AS15" s="158">
        <f t="shared" si="1"/>
        <v>0</v>
      </c>
    </row>
    <row r="16" spans="1:45" ht="33" customHeight="1"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>
        <v>1</v>
      </c>
      <c r="AN17" s="158">
        <f t="shared" si="0"/>
        <v>6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1</v>
      </c>
      <c r="C18" s="197">
        <f t="shared" si="3"/>
        <v>1</v>
      </c>
      <c r="D18" s="197">
        <f t="shared" si="3"/>
        <v>2</v>
      </c>
      <c r="E18" s="197">
        <f t="shared" si="3"/>
        <v>1</v>
      </c>
      <c r="F18" s="197">
        <f t="shared" si="3"/>
        <v>3</v>
      </c>
      <c r="G18" s="197">
        <f t="shared" si="3"/>
        <v>2</v>
      </c>
      <c r="H18" s="197">
        <f t="shared" si="3"/>
        <v>2</v>
      </c>
      <c r="I18" s="197">
        <f t="shared" si="3"/>
        <v>1</v>
      </c>
      <c r="J18" s="197">
        <f t="shared" si="3"/>
        <v>2</v>
      </c>
      <c r="K18" s="197">
        <f t="shared" si="3"/>
        <v>1</v>
      </c>
      <c r="L18" s="197">
        <f t="shared" si="3"/>
        <v>3</v>
      </c>
      <c r="M18" s="197">
        <f t="shared" si="3"/>
        <v>3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/>
      <c r="AN18" s="158">
        <f t="shared" si="0"/>
        <v>0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478" t="s">
        <v>184</v>
      </c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  <c r="O20" s="479"/>
      <c r="P20" s="479"/>
      <c r="Q20" s="479"/>
      <c r="R20" s="479"/>
      <c r="S20" s="479"/>
      <c r="T20" s="479"/>
      <c r="U20" s="479"/>
      <c r="V20" s="479"/>
      <c r="W20" s="479"/>
      <c r="X20" s="479"/>
      <c r="Y20" s="479"/>
      <c r="Z20" s="479"/>
      <c r="AA20" s="479"/>
      <c r="AB20" s="479"/>
      <c r="AC20" s="480"/>
      <c r="AD20" s="27"/>
      <c r="AK20" s="195" t="s">
        <v>203</v>
      </c>
      <c r="AL20" s="156">
        <v>2</v>
      </c>
      <c r="AM20" s="199"/>
      <c r="AN20" s="158">
        <f t="shared" si="0"/>
        <v>0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289" t="s">
        <v>15</v>
      </c>
      <c r="AK22" s="195" t="s">
        <v>205</v>
      </c>
      <c r="AL22" s="156">
        <v>1</v>
      </c>
      <c r="AM22" s="199"/>
      <c r="AN22" s="158">
        <f t="shared" si="0"/>
        <v>0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286"/>
      <c r="C23" s="286">
        <v>1</v>
      </c>
      <c r="D23" s="287">
        <v>1</v>
      </c>
      <c r="E23" s="287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87"/>
      <c r="AA23" s="287"/>
      <c r="AB23" s="287"/>
      <c r="AC23" s="281"/>
      <c r="AD23" s="203">
        <f>+C34+D34+F34+J34+L34+M34</f>
        <v>2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 t="shared" si="0"/>
        <v>0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177" t="s">
        <v>41</v>
      </c>
      <c r="B24" s="286"/>
      <c r="C24" s="286"/>
      <c r="D24" s="287"/>
      <c r="E24" s="287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87"/>
      <c r="AA24" s="287"/>
      <c r="AB24" s="287"/>
      <c r="AC24" s="281"/>
      <c r="AD24" s="203">
        <f>+B34+E34+G34+H34+I34+K34</f>
        <v>0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/>
      <c r="AN24" s="158">
        <f t="shared" si="0"/>
        <v>0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78"/>
      <c r="B25" s="208"/>
      <c r="C25" s="208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/>
      <c r="AN25" s="158">
        <f t="shared" si="0"/>
        <v>0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>
        <f>R34+S34</f>
        <v>0</v>
      </c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/>
      <c r="AN26" s="158">
        <f t="shared" si="0"/>
        <v>0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2</v>
      </c>
      <c r="AE27" s="215"/>
      <c r="AF27" s="215"/>
      <c r="AG27" s="216"/>
      <c r="AH27" s="216"/>
      <c r="AI27" s="216"/>
      <c r="AJ27"/>
      <c r="AN27" s="217">
        <f>SUM(AN3:AN26)</f>
        <v>7</v>
      </c>
      <c r="AS27" s="217">
        <f>SUM(AS3:AS26)</f>
        <v>0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4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0</v>
      </c>
      <c r="C34" s="197">
        <f t="shared" si="6"/>
        <v>1</v>
      </c>
      <c r="D34" s="197">
        <f t="shared" si="6"/>
        <v>1</v>
      </c>
      <c r="E34" s="197">
        <f t="shared" si="6"/>
        <v>0</v>
      </c>
      <c r="F34" s="197">
        <f t="shared" si="6"/>
        <v>0</v>
      </c>
      <c r="G34" s="197">
        <f t="shared" si="6"/>
        <v>0</v>
      </c>
      <c r="H34" s="197">
        <f t="shared" si="6"/>
        <v>0</v>
      </c>
      <c r="I34" s="197">
        <f t="shared" si="6"/>
        <v>0</v>
      </c>
      <c r="J34" s="197">
        <f t="shared" si="6"/>
        <v>0</v>
      </c>
      <c r="K34" s="197">
        <f t="shared" si="6"/>
        <v>0</v>
      </c>
      <c r="L34" s="197">
        <f t="shared" si="6"/>
        <v>0</v>
      </c>
      <c r="M34" s="197">
        <f t="shared" si="6"/>
        <v>0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02" t="s">
        <v>28</v>
      </c>
      <c r="B36" s="403"/>
      <c r="C36" s="403"/>
      <c r="D36" s="403"/>
      <c r="E36" s="403"/>
      <c r="F36" s="403"/>
      <c r="G36" s="403"/>
      <c r="H36" s="403"/>
      <c r="I36" s="404"/>
      <c r="O36" s="405" t="s">
        <v>29</v>
      </c>
      <c r="P36" s="406"/>
      <c r="Q36" s="406"/>
      <c r="R36" s="407"/>
      <c r="S36" s="405" t="s">
        <v>185</v>
      </c>
      <c r="T36" s="406"/>
      <c r="U36" s="408"/>
      <c r="V36" s="409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24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276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14</v>
      </c>
      <c r="P38" s="348"/>
      <c r="Q38" s="347">
        <f>AI7+AI23</f>
        <v>0</v>
      </c>
      <c r="R38" s="348"/>
      <c r="S38" s="347">
        <f>AD23</f>
        <v>2</v>
      </c>
      <c r="T38" s="348"/>
      <c r="U38" s="355">
        <f>S38*H38+O38*D38+Q38*F38</f>
        <v>180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8</v>
      </c>
      <c r="P39" s="348"/>
      <c r="Q39" s="347">
        <f>AI8</f>
        <v>0</v>
      </c>
      <c r="R39" s="348"/>
      <c r="S39" s="347">
        <f>AD24</f>
        <v>0</v>
      </c>
      <c r="T39" s="348"/>
      <c r="U39" s="355">
        <f t="shared" ref="U39:U41" si="7">S39*H39+O39*D39+Q39*F39</f>
        <v>96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481"/>
      <c r="E40" s="482"/>
      <c r="F40" s="481"/>
      <c r="G40" s="482"/>
      <c r="H40" s="481"/>
      <c r="I40" s="482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7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7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476"/>
      <c r="E41" s="477"/>
      <c r="F41" s="476"/>
      <c r="G41" s="477"/>
      <c r="H41" s="476"/>
      <c r="I41" s="477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7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283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22</v>
      </c>
      <c r="P42" s="348"/>
      <c r="Q42" s="347">
        <f t="shared" ref="Q42" si="8">SUM(Q38:R41)</f>
        <v>0</v>
      </c>
      <c r="R42" s="348"/>
      <c r="S42" s="347">
        <f t="shared" ref="S42" si="9">SUM(S38:T41)</f>
        <v>2</v>
      </c>
      <c r="T42" s="348"/>
      <c r="U42" s="347">
        <f>SUM(U38:V41)</f>
        <v>276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283.13483146067415</v>
      </c>
      <c r="AG42" s="315"/>
      <c r="AL42" s="2"/>
    </row>
    <row r="43" spans="1:46" ht="33" customHeight="1">
      <c r="AF43" s="351">
        <f>AF42-AF41</f>
        <v>0.13483146067414964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/>
      <c r="F45" s="247">
        <f>E45*C45</f>
        <v>0</v>
      </c>
      <c r="H45" s="312">
        <v>1</v>
      </c>
      <c r="I45" s="312"/>
      <c r="J45" s="247">
        <v>1</v>
      </c>
      <c r="K45" s="247">
        <f>J45*H45</f>
        <v>1</v>
      </c>
      <c r="O45" s="337" t="s">
        <v>49</v>
      </c>
      <c r="P45" s="337"/>
      <c r="Q45" s="337"/>
      <c r="R45" s="337"/>
      <c r="S45" s="454">
        <f>F51</f>
        <v>13800</v>
      </c>
      <c r="T45" s="454"/>
      <c r="U45" s="454"/>
      <c r="V45" s="327">
        <f>S45/P2</f>
        <v>15.50561797752809</v>
      </c>
      <c r="W45" s="327"/>
      <c r="X45" s="327"/>
    </row>
    <row r="46" spans="1:46" ht="33" customHeight="1">
      <c r="C46" s="311">
        <v>20</v>
      </c>
      <c r="D46" s="311"/>
      <c r="E46" s="247"/>
      <c r="F46" s="247">
        <f t="shared" ref="F46:F50" si="10">E46*C46</f>
        <v>0</v>
      </c>
      <c r="H46" s="312">
        <v>5</v>
      </c>
      <c r="I46" s="312"/>
      <c r="J46" s="247">
        <v>1</v>
      </c>
      <c r="K46" s="247">
        <f t="shared" ref="K46:K50" si="11">J46*H46</f>
        <v>5</v>
      </c>
      <c r="O46" s="326" t="s">
        <v>50</v>
      </c>
      <c r="P46" s="326"/>
      <c r="Q46" s="326"/>
      <c r="R46" s="326"/>
      <c r="S46" s="340">
        <v>117150</v>
      </c>
      <c r="T46" s="341"/>
      <c r="U46" s="342"/>
      <c r="V46" s="327">
        <f>S46/P2</f>
        <v>131.62921348314606</v>
      </c>
      <c r="W46" s="327"/>
      <c r="X46" s="327"/>
    </row>
    <row r="47" spans="1:46" ht="33" customHeight="1">
      <c r="C47" s="311">
        <v>50</v>
      </c>
      <c r="D47" s="311"/>
      <c r="E47" s="50"/>
      <c r="F47" s="247">
        <f t="shared" si="10"/>
        <v>0</v>
      </c>
      <c r="H47" s="312">
        <v>10</v>
      </c>
      <c r="I47" s="312"/>
      <c r="J47" s="50">
        <v>1</v>
      </c>
      <c r="K47" s="247">
        <f t="shared" si="11"/>
        <v>10</v>
      </c>
      <c r="O47" s="326" t="s">
        <v>47</v>
      </c>
      <c r="P47" s="326"/>
      <c r="Q47" s="326"/>
      <c r="R47" s="326"/>
      <c r="S47" s="327">
        <f>K51</f>
        <v>136</v>
      </c>
      <c r="T47" s="327"/>
      <c r="U47" s="328"/>
      <c r="V47" s="327">
        <f>S47</f>
        <v>136</v>
      </c>
      <c r="W47" s="327"/>
      <c r="X47" s="327"/>
    </row>
    <row r="48" spans="1:46" ht="33" customHeight="1">
      <c r="C48" s="311">
        <v>100</v>
      </c>
      <c r="D48" s="311"/>
      <c r="E48" s="50"/>
      <c r="F48" s="247">
        <f t="shared" si="10"/>
        <v>0</v>
      </c>
      <c r="H48" s="312">
        <v>20</v>
      </c>
      <c r="I48" s="312"/>
      <c r="J48" s="50">
        <v>1</v>
      </c>
      <c r="K48" s="247">
        <f t="shared" si="11"/>
        <v>20</v>
      </c>
      <c r="O48" s="248"/>
      <c r="P48" s="248"/>
      <c r="Q48" s="248"/>
      <c r="R48" s="248"/>
      <c r="S48" s="330"/>
      <c r="T48" s="330"/>
      <c r="U48" s="330"/>
      <c r="V48" s="451">
        <f>SUM(V45:V47)</f>
        <v>283.13483146067415</v>
      </c>
      <c r="W48" s="452"/>
      <c r="X48" s="453"/>
    </row>
    <row r="49" spans="3:24" ht="33" customHeight="1">
      <c r="C49" s="311">
        <v>200</v>
      </c>
      <c r="D49" s="311"/>
      <c r="E49" s="50">
        <v>4</v>
      </c>
      <c r="F49" s="247">
        <f t="shared" si="10"/>
        <v>800</v>
      </c>
      <c r="H49" s="312">
        <v>50</v>
      </c>
      <c r="I49" s="312"/>
      <c r="J49" s="50"/>
      <c r="K49" s="247">
        <f t="shared" si="11"/>
        <v>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26</v>
      </c>
      <c r="F50" s="247">
        <f t="shared" si="10"/>
        <v>13000</v>
      </c>
      <c r="H50" s="312">
        <v>100</v>
      </c>
      <c r="I50" s="312"/>
      <c r="J50" s="50">
        <v>1</v>
      </c>
      <c r="K50" s="247">
        <f t="shared" si="11"/>
        <v>100</v>
      </c>
    </row>
    <row r="51" spans="3:24" ht="33" customHeight="1">
      <c r="F51" s="250">
        <f>SUM(F45:F50)</f>
        <v>13800</v>
      </c>
      <c r="K51" s="250">
        <f>SUM(K45:K50)</f>
        <v>136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14</v>
      </c>
      <c r="G91" s="230"/>
      <c r="H91" s="238">
        <f>AE7</f>
        <v>0</v>
      </c>
      <c r="I91" s="230"/>
      <c r="J91" s="238">
        <f>F91*D38+H91*F38</f>
        <v>140</v>
      </c>
      <c r="K91" s="230"/>
      <c r="L91" s="21"/>
      <c r="M91" s="238">
        <f>AD23</f>
        <v>2</v>
      </c>
      <c r="N91" s="230"/>
      <c r="O91" s="254">
        <f>AE23</f>
        <v>0</v>
      </c>
      <c r="P91" s="230"/>
      <c r="Q91" s="238">
        <f>M91*H38+O91*F38</f>
        <v>40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8</v>
      </c>
      <c r="G92" s="230"/>
      <c r="H92" s="238">
        <f>AE8</f>
        <v>0</v>
      </c>
      <c r="I92" s="230"/>
      <c r="J92" s="238">
        <f>F92*D39+H92*F39</f>
        <v>96</v>
      </c>
      <c r="K92" s="230"/>
      <c r="L92" s="21"/>
      <c r="M92" s="238">
        <f>AD24</f>
        <v>0</v>
      </c>
      <c r="N92" s="230"/>
      <c r="O92" s="254">
        <f>AE24</f>
        <v>0</v>
      </c>
      <c r="P92" s="230"/>
      <c r="Q92" s="238">
        <f>M92*H39+O92*F39</f>
        <v>0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22</v>
      </c>
      <c r="G96" s="230"/>
      <c r="H96" s="266">
        <f>SUM(H91:H94)</f>
        <v>0</v>
      </c>
      <c r="I96" s="230"/>
      <c r="J96" s="265" t="e">
        <f>SUM(J91:K95)</f>
        <v>#REF!</v>
      </c>
      <c r="K96" s="230"/>
      <c r="L96" s="21"/>
      <c r="M96" s="265">
        <f>SUM(M91:M94)</f>
        <v>2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24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7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7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1">
    <mergeCell ref="F1:J1"/>
    <mergeCell ref="K1:L1"/>
    <mergeCell ref="M1:Q1"/>
    <mergeCell ref="AK1:AN1"/>
    <mergeCell ref="F2:L2"/>
    <mergeCell ref="M2:O2"/>
    <mergeCell ref="P2:Q2"/>
    <mergeCell ref="B4:AC4"/>
    <mergeCell ref="AE6:AH6"/>
    <mergeCell ref="AE22:AH22"/>
    <mergeCell ref="AK29:AN29"/>
    <mergeCell ref="A36:I36"/>
    <mergeCell ref="O36:R36"/>
    <mergeCell ref="S36:V36"/>
    <mergeCell ref="Z36:AE36"/>
    <mergeCell ref="AF36:AG36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AF37:AG37"/>
    <mergeCell ref="Z38:AE38"/>
    <mergeCell ref="AF38:AG38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Z39:AE39"/>
    <mergeCell ref="AF39:AG39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O41:P41"/>
    <mergeCell ref="Q41:R41"/>
    <mergeCell ref="S41:T41"/>
    <mergeCell ref="U41:V41"/>
    <mergeCell ref="Z41:AE41"/>
    <mergeCell ref="AF41:AG41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A5:A6"/>
    <mergeCell ref="A21:A22"/>
    <mergeCell ref="C47:D47"/>
    <mergeCell ref="H47:I47"/>
    <mergeCell ref="B20:AC20"/>
    <mergeCell ref="O47:R47"/>
    <mergeCell ref="S47:U47"/>
    <mergeCell ref="V47:X47"/>
    <mergeCell ref="C48:D48"/>
    <mergeCell ref="H48:I48"/>
    <mergeCell ref="S48:U48"/>
    <mergeCell ref="V48:X48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2:T42"/>
    <mergeCell ref="U42:V42"/>
    <mergeCell ref="Z42:AE42"/>
    <mergeCell ref="AF42:AG42"/>
    <mergeCell ref="AF43:AG43"/>
    <mergeCell ref="C44:F44"/>
    <mergeCell ref="H44:K44"/>
    <mergeCell ref="O44:X44"/>
    <mergeCell ref="Z40:AE40"/>
    <mergeCell ref="AF40:AG40"/>
    <mergeCell ref="A41:C41"/>
    <mergeCell ref="D41:E41"/>
    <mergeCell ref="F41:G41"/>
    <mergeCell ref="H41:I41"/>
    <mergeCell ref="L41:N4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01"/>
  <sheetViews>
    <sheetView workbookViewId="0">
      <selection activeCell="E29" sqref="E29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4.6640625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+JUEVES!P2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JUEVES!F1</f>
        <v>46241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JUEVES!AF36</f>
        <v>24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JUEVES!AF37*JUEVES!P2</f>
        <v>245640</v>
      </c>
      <c r="D9" s="129">
        <f>+C9/D5</f>
        <v>276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+JUEVES!AF38*'CIERRE JUEVES'!D5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JUEVES!AF40*JUEVES!P2</f>
        <v>6230</v>
      </c>
      <c r="D11" s="129">
        <f>+C11/D5</f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+JUEVES!AF39*'CIERRE JUEVES'!D5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251870</v>
      </c>
      <c r="D15" s="129">
        <f>+C15/D5</f>
        <v>283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JUEVES!K51</f>
        <v>136</v>
      </c>
      <c r="D19" s="133">
        <f>+C19</f>
        <v>136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JUEVES!F51</f>
        <v>13800</v>
      </c>
      <c r="D20" s="133">
        <f>+C20/D5</f>
        <v>15.50561797752809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JUEVES!S46</f>
        <v>117150</v>
      </c>
      <c r="D21" s="133">
        <f>+C21/D5</f>
        <v>131.62921348314606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136</v>
      </c>
      <c r="D23" s="135">
        <f>SUM(D19:D22)</f>
        <v>283.13483146067415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13800</v>
      </c>
      <c r="D24" s="65">
        <f>D23-D15</f>
        <v>0.13483146067414964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13800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136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136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13800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67" t="s">
        <v>190</v>
      </c>
      <c r="C41" s="468"/>
      <c r="D41" s="46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70"/>
      <c r="C42" s="471"/>
      <c r="D42" s="47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70"/>
      <c r="C43" s="471"/>
      <c r="D43" s="47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73"/>
      <c r="C44" s="474"/>
      <c r="D44" s="47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19"/>
  <sheetViews>
    <sheetView zoomScale="85" zoomScaleNormal="85" workbookViewId="0">
      <selection activeCell="J8" sqref="J8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7.6640625" customWidth="1"/>
    <col min="4" max="4" width="19.5546875" customWidth="1"/>
    <col min="5" max="5" width="5" customWidth="1"/>
    <col min="6" max="6" width="7.88671875" hidden="1" customWidth="1"/>
    <col min="7" max="7" width="11.109375" customWidth="1"/>
    <col min="8" max="8" width="11.6640625" customWidth="1"/>
    <col min="9" max="9" width="14.109375" customWidth="1"/>
    <col min="10" max="10" width="10.88671875" customWidth="1"/>
    <col min="11" max="11" width="8.6640625" customWidth="1"/>
    <col min="12" max="12" width="7.88671875" customWidth="1"/>
    <col min="13" max="13" width="8.33203125" customWidth="1"/>
  </cols>
  <sheetData>
    <row r="1" spans="1:26" ht="27" customHeight="1">
      <c r="A1" s="2"/>
      <c r="B1" s="2"/>
      <c r="C1" s="2"/>
      <c r="D1" s="2"/>
      <c r="E1" s="13"/>
      <c r="F1" s="2"/>
      <c r="G1" s="484"/>
      <c r="H1" s="484"/>
      <c r="I1" s="484"/>
      <c r="J1" s="2"/>
      <c r="K1" s="485"/>
      <c r="L1" s="485"/>
      <c r="M1" s="48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/>
      <c r="B2" s="15"/>
      <c r="C2" s="15"/>
      <c r="D2" s="16"/>
      <c r="E2" s="2"/>
      <c r="F2" s="2"/>
      <c r="G2" s="17"/>
      <c r="H2" s="17"/>
      <c r="I2" s="17"/>
      <c r="J2" s="17"/>
      <c r="K2" s="17"/>
      <c r="L2" s="17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2"/>
      <c r="B3" s="423"/>
      <c r="C3" s="424"/>
      <c r="D3" s="18"/>
      <c r="E3" s="2"/>
      <c r="F3" s="2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customHeight="1">
      <c r="A4" s="2"/>
      <c r="B4" s="1"/>
      <c r="C4" s="19"/>
      <c r="D4" s="20"/>
      <c r="E4" s="2"/>
      <c r="F4" s="2"/>
      <c r="G4" s="21"/>
      <c r="H4" s="21"/>
      <c r="I4" s="21"/>
      <c r="J4" s="17"/>
      <c r="K4" s="17"/>
      <c r="L4" s="17"/>
      <c r="M4" s="1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2"/>
      <c r="B5" s="22"/>
      <c r="C5" s="23"/>
      <c r="D5" s="20"/>
      <c r="E5" s="2"/>
      <c r="F5" s="2"/>
      <c r="G5" s="24" t="s">
        <v>93</v>
      </c>
      <c r="H5" s="25" t="s">
        <v>94</v>
      </c>
      <c r="I5" s="25" t="s">
        <v>95</v>
      </c>
      <c r="J5" s="26" t="s">
        <v>96</v>
      </c>
      <c r="K5" s="17"/>
      <c r="L5" s="17"/>
      <c r="M5" s="1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hidden="1" customHeight="1">
      <c r="A6" s="27"/>
      <c r="B6" s="3">
        <v>45758</v>
      </c>
      <c r="C6" s="4"/>
      <c r="D6" s="28"/>
      <c r="E6" s="2"/>
      <c r="F6" s="2"/>
      <c r="G6" s="29"/>
      <c r="H6" s="21"/>
      <c r="I6" s="21"/>
      <c r="J6" s="30"/>
      <c r="K6" s="21"/>
      <c r="L6" s="21"/>
      <c r="M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31"/>
      <c r="C7" s="32"/>
      <c r="D7" s="33"/>
      <c r="E7" s="2"/>
      <c r="F7" s="2"/>
      <c r="G7" s="34">
        <f>'CIERRE LUNES'!D5</f>
        <v>890</v>
      </c>
      <c r="H7" s="35">
        <f>'CIERRE MARTES'!D5</f>
        <v>890</v>
      </c>
      <c r="I7" s="36">
        <f>'CIERRE MIERCOLES'!D5</f>
        <v>890</v>
      </c>
      <c r="J7" s="37">
        <f>'CIERRE JUEVES'!D5</f>
        <v>890</v>
      </c>
      <c r="K7" s="21"/>
      <c r="L7" s="21"/>
      <c r="M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8" t="s">
        <v>68</v>
      </c>
      <c r="C8" s="39">
        <f>'CIERRE LUNES'!C8+'CIERRE MARTES'!C8+'CIERRE MIERCOLES'!C8+'CIERRE JUEVES'!C8</f>
        <v>95</v>
      </c>
      <c r="D8" s="33"/>
      <c r="E8" s="2"/>
      <c r="F8" s="2"/>
      <c r="G8" s="21"/>
      <c r="H8" s="21"/>
      <c r="I8" s="21"/>
      <c r="J8" s="21"/>
      <c r="K8" s="21"/>
      <c r="L8" s="21"/>
      <c r="M8" s="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40" t="s">
        <v>97</v>
      </c>
      <c r="C9" s="41">
        <f>'CIERRE LUNES'!C9</f>
        <v>277680</v>
      </c>
      <c r="D9" s="42">
        <f>+C9/G7</f>
        <v>312</v>
      </c>
      <c r="E9" s="2"/>
      <c r="F9" s="2"/>
      <c r="G9" s="21"/>
      <c r="H9" s="21"/>
      <c r="I9" s="21"/>
      <c r="J9" s="21"/>
      <c r="K9" s="21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40" t="s">
        <v>98</v>
      </c>
      <c r="C10" s="41">
        <f>'CIERRE MARTES'!C9</f>
        <v>288360</v>
      </c>
      <c r="D10" s="42">
        <f>+C10/H7</f>
        <v>324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40" t="s">
        <v>99</v>
      </c>
      <c r="C11" s="41">
        <f>+'CIERRE MIERCOLES'!C9</f>
        <v>215380</v>
      </c>
      <c r="D11" s="42">
        <f>+C11/I7</f>
        <v>242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40" t="s">
        <v>100</v>
      </c>
      <c r="C12" s="41">
        <f>+'CIERRE JUEVES'!C9</f>
        <v>245640</v>
      </c>
      <c r="D12" s="42">
        <f>+C12/J7</f>
        <v>276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40" t="s">
        <v>101</v>
      </c>
      <c r="C13" s="41">
        <f>+'CIERRE LUNES'!C10</f>
        <v>0</v>
      </c>
      <c r="D13" s="42">
        <f>+C13/G7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40" t="s">
        <v>102</v>
      </c>
      <c r="C14" s="41">
        <f>+'CIERRE MARTES'!C10</f>
        <v>0</v>
      </c>
      <c r="D14" s="42">
        <f>+C14/H7</f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40" t="s">
        <v>103</v>
      </c>
      <c r="C15" s="41">
        <f>+'CIERRE MIERCOLES'!C10</f>
        <v>0</v>
      </c>
      <c r="D15" s="42">
        <f>+C15/I7</f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40" t="s">
        <v>104</v>
      </c>
      <c r="C16" s="41">
        <f>+'CIERRE JUEVES'!C10</f>
        <v>0</v>
      </c>
      <c r="D16" s="42">
        <f>+C16/J7</f>
        <v>0</v>
      </c>
      <c r="E16" s="2"/>
      <c r="F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40" t="s">
        <v>105</v>
      </c>
      <c r="C17" s="41">
        <f>'CIERRE LUNES'!C11</f>
        <v>8455</v>
      </c>
      <c r="D17" s="42">
        <f>+C17/G7</f>
        <v>9.5</v>
      </c>
      <c r="E17" s="2"/>
      <c r="F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40" t="s">
        <v>106</v>
      </c>
      <c r="C18" s="41">
        <f>+'CIERRE MARTES'!C11</f>
        <v>15575</v>
      </c>
      <c r="D18" s="42">
        <f>+C18/H7</f>
        <v>17.5</v>
      </c>
      <c r="E18" s="2"/>
      <c r="F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40" t="s">
        <v>107</v>
      </c>
      <c r="C19" s="41">
        <f>+'CIERRE MIERCOLES'!C11</f>
        <v>12460</v>
      </c>
      <c r="D19" s="42">
        <f>+C19/I7</f>
        <v>14</v>
      </c>
      <c r="E19" s="2"/>
      <c r="F19" s="2"/>
      <c r="G19" s="486" t="s">
        <v>46</v>
      </c>
      <c r="H19" s="487"/>
      <c r="I19" s="488"/>
      <c r="J19" s="43"/>
      <c r="K19" s="489" t="s">
        <v>47</v>
      </c>
      <c r="L19" s="490"/>
      <c r="M19" s="4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40" t="s">
        <v>108</v>
      </c>
      <c r="C20" s="41">
        <f>+'CIERRE JUEVES'!C11</f>
        <v>6230</v>
      </c>
      <c r="D20" s="42">
        <f>+C20/J7</f>
        <v>7</v>
      </c>
      <c r="E20" s="2"/>
      <c r="F20" s="2"/>
      <c r="G20" s="44">
        <v>10</v>
      </c>
      <c r="H20" s="45"/>
      <c r="I20" s="44">
        <f t="shared" ref="I20:I25" si="0">H20*G20</f>
        <v>0</v>
      </c>
      <c r="J20" s="17"/>
      <c r="K20" s="46">
        <v>1</v>
      </c>
      <c r="L20" s="45"/>
      <c r="M20" s="46">
        <f t="shared" ref="M20" si="1">L20*K20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47" t="s">
        <v>109</v>
      </c>
      <c r="C21" s="41">
        <f>+'CIERRE LUNES'!C12</f>
        <v>0</v>
      </c>
      <c r="D21" s="42">
        <f>+C21/G7</f>
        <v>0</v>
      </c>
      <c r="E21" s="2"/>
      <c r="F21" s="2"/>
      <c r="G21" s="44">
        <v>20</v>
      </c>
      <c r="H21" s="48"/>
      <c r="I21" s="44">
        <f t="shared" si="0"/>
        <v>0</v>
      </c>
      <c r="J21" s="17"/>
      <c r="K21" s="46">
        <v>5</v>
      </c>
      <c r="L21" s="45"/>
      <c r="M21" s="46">
        <f t="shared" ref="M21:M25" si="2">L21*K21</f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7" t="s">
        <v>110</v>
      </c>
      <c r="C22" s="41">
        <f>+'CIERRE MARTES'!C12</f>
        <v>0</v>
      </c>
      <c r="D22" s="42">
        <f>+C22/H7</f>
        <v>0</v>
      </c>
      <c r="E22" s="2"/>
      <c r="F22" s="2"/>
      <c r="G22" s="44">
        <v>50</v>
      </c>
      <c r="H22" s="48"/>
      <c r="I22" s="44">
        <f t="shared" si="0"/>
        <v>0</v>
      </c>
      <c r="J22" s="17"/>
      <c r="K22" s="46">
        <v>10</v>
      </c>
      <c r="L22" s="45"/>
      <c r="M22" s="46">
        <f t="shared" si="2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47" t="s">
        <v>111</v>
      </c>
      <c r="C23" s="41">
        <f>+'CIERRE MIERCOLES'!C12</f>
        <v>0</v>
      </c>
      <c r="D23" s="42">
        <f>+C23/I7</f>
        <v>0</v>
      </c>
      <c r="E23" s="2"/>
      <c r="F23" s="2"/>
      <c r="G23" s="44">
        <v>100</v>
      </c>
      <c r="H23" s="48"/>
      <c r="I23" s="44">
        <f t="shared" si="0"/>
        <v>0</v>
      </c>
      <c r="J23" s="17"/>
      <c r="K23" s="46">
        <v>20</v>
      </c>
      <c r="L23" s="45"/>
      <c r="M23" s="46">
        <f t="shared" si="2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47" t="s">
        <v>112</v>
      </c>
      <c r="C24" s="41">
        <f>+'CIERRE JUEVES'!C12</f>
        <v>0</v>
      </c>
      <c r="D24" s="42">
        <f>+C24/J7</f>
        <v>0</v>
      </c>
      <c r="E24" s="2"/>
      <c r="F24" s="2"/>
      <c r="G24" s="44">
        <v>200</v>
      </c>
      <c r="H24" s="49"/>
      <c r="I24" s="44">
        <f t="shared" si="0"/>
        <v>0</v>
      </c>
      <c r="J24" s="17"/>
      <c r="K24" s="46">
        <v>50</v>
      </c>
      <c r="L24" s="48"/>
      <c r="M24" s="46">
        <f t="shared" si="2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41"/>
      <c r="C25" s="41"/>
      <c r="D25" s="42"/>
      <c r="E25" s="2"/>
      <c r="F25" s="2"/>
      <c r="G25" s="44">
        <v>500</v>
      </c>
      <c r="H25" s="50"/>
      <c r="I25" s="44">
        <f t="shared" si="0"/>
        <v>0</v>
      </c>
      <c r="J25" s="17"/>
      <c r="K25" s="46">
        <v>100</v>
      </c>
      <c r="L25" s="48"/>
      <c r="M25" s="46">
        <f t="shared" si="2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41" t="s">
        <v>72</v>
      </c>
      <c r="C26" s="41">
        <f>SUM(C9:C25)</f>
        <v>1069780</v>
      </c>
      <c r="D26" s="42">
        <f>+D9+D10+D11+D12+D13+D14+D15+D16+D17+D18+D19+D20+D21+D22+D23+D24</f>
        <v>1202</v>
      </c>
      <c r="E26" s="2"/>
      <c r="F26" s="2"/>
      <c r="G26" s="21"/>
      <c r="H26" s="21"/>
      <c r="I26" s="44">
        <f>SUM(I20:I25)</f>
        <v>0</v>
      </c>
      <c r="J26" s="17"/>
      <c r="K26" s="21"/>
      <c r="L26" s="21"/>
      <c r="M26" s="46">
        <f>SUM(M20:M25)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2"/>
      <c r="B27" s="11"/>
      <c r="C27" s="11"/>
      <c r="D27" s="51"/>
      <c r="E27" s="2"/>
      <c r="F27" s="2"/>
      <c r="G27" s="2"/>
      <c r="H27" s="2"/>
      <c r="I27" s="2"/>
      <c r="J27" s="21"/>
      <c r="K27" s="21"/>
      <c r="L27" s="21"/>
      <c r="M27" s="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.75" customHeight="1">
      <c r="A28" s="2"/>
      <c r="B28" s="52" t="s">
        <v>74</v>
      </c>
      <c r="C28" s="53" t="s">
        <v>75</v>
      </c>
      <c r="D28" s="54" t="s">
        <v>76</v>
      </c>
      <c r="E28" s="2"/>
      <c r="G28" s="2"/>
      <c r="H28" s="2"/>
      <c r="I28" s="2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5" t="s">
        <v>77</v>
      </c>
      <c r="C29" s="56">
        <f>'CIERRE LUNES'!C23+'CIERRE MARTES'!C23+'CIERRE MIERCOLES'!C23+'CIERRE JUEVES'!C19</f>
        <v>568</v>
      </c>
      <c r="D29" s="57">
        <f>+C29</f>
        <v>568</v>
      </c>
      <c r="E29" s="2"/>
      <c r="J29" s="2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5" t="s">
        <v>113</v>
      </c>
      <c r="C30" s="56">
        <f>'CIERRE LUNES'!C24</f>
        <v>1800</v>
      </c>
      <c r="D30" s="57">
        <f>+C30/G7</f>
        <v>2.0224719101123596</v>
      </c>
      <c r="E30" s="2"/>
      <c r="J30" s="2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5" t="s">
        <v>114</v>
      </c>
      <c r="C31" s="56">
        <f>+'CIERRE MARTES'!C24</f>
        <v>4040</v>
      </c>
      <c r="D31" s="57">
        <f>+C31/H7</f>
        <v>4.5393258426966296</v>
      </c>
      <c r="E31" s="2"/>
      <c r="J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55" t="s">
        <v>115</v>
      </c>
      <c r="C32" s="56"/>
      <c r="D32" s="57">
        <f>+C32/I7</f>
        <v>0</v>
      </c>
      <c r="E32" s="2"/>
      <c r="J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55" t="s">
        <v>116</v>
      </c>
      <c r="C33" s="56">
        <f>+'CIERRE MIERCOLES'!C24+'CIERRE JUEVES'!C24</f>
        <v>36940</v>
      </c>
      <c r="D33" s="57">
        <f>+C33/J7</f>
        <v>41.50561797752809</v>
      </c>
      <c r="E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55" t="s">
        <v>117</v>
      </c>
      <c r="C34" s="56"/>
      <c r="D34" s="57"/>
      <c r="E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55" t="s">
        <v>118</v>
      </c>
      <c r="C35" s="56">
        <f>'CIERRE LUNES'!C21</f>
        <v>179315</v>
      </c>
      <c r="D35" s="57">
        <f>+C35/G7</f>
        <v>201.47752808988764</v>
      </c>
      <c r="E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55" t="s">
        <v>119</v>
      </c>
      <c r="C36" s="56">
        <f>'CIERRE MARTES'!C21</f>
        <v>153920</v>
      </c>
      <c r="D36" s="57">
        <f>+C36/H7</f>
        <v>172.9438202247191</v>
      </c>
      <c r="E36" s="2"/>
      <c r="M36" s="2" t="s">
        <v>120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55" t="s">
        <v>121</v>
      </c>
      <c r="C37" s="56">
        <f>+'CIERRE MIERCOLES'!C21</f>
        <v>90780</v>
      </c>
      <c r="D37" s="57">
        <f>+C37/I7</f>
        <v>102</v>
      </c>
      <c r="E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55" t="s">
        <v>122</v>
      </c>
      <c r="C38" s="56">
        <f>+'CIERRE JUEVES'!C21</f>
        <v>117150</v>
      </c>
      <c r="D38" s="57">
        <f>+C38/J7</f>
        <v>131.62921348314606</v>
      </c>
      <c r="E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55" t="s">
        <v>80</v>
      </c>
      <c r="C39" s="56"/>
      <c r="D39" s="57"/>
      <c r="E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58" t="s">
        <v>123</v>
      </c>
      <c r="C40" s="59"/>
      <c r="D40" s="60"/>
      <c r="E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58" t="s">
        <v>124</v>
      </c>
      <c r="C41" s="61"/>
      <c r="D41" s="60"/>
      <c r="E41" s="2"/>
      <c r="G41" s="2"/>
      <c r="H41" s="2"/>
      <c r="I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62" t="s">
        <v>81</v>
      </c>
      <c r="C42" s="62">
        <f>+C29+D40</f>
        <v>568</v>
      </c>
      <c r="D42" s="63">
        <f>SUM(D29:D41)</f>
        <v>1224.1179775280898</v>
      </c>
      <c r="E42" s="2"/>
      <c r="G42" s="2"/>
      <c r="H42" s="2"/>
      <c r="I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51" t="s">
        <v>49</v>
      </c>
      <c r="C43" s="64">
        <f>C30+C31+C33-C41</f>
        <v>42780</v>
      </c>
      <c r="D43" s="65">
        <f>+D42-D26</f>
        <v>22.117977528089796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51" t="s">
        <v>183</v>
      </c>
      <c r="C44" s="51">
        <f>+C35+C36+C37+C38</f>
        <v>541165</v>
      </c>
      <c r="D44" s="64"/>
      <c r="E44" s="2"/>
      <c r="G44" s="2"/>
      <c r="H44" s="2"/>
      <c r="I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67" t="s">
        <v>82</v>
      </c>
      <c r="C45" s="68" t="s">
        <v>83</v>
      </c>
      <c r="D45" s="68" t="s">
        <v>84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69"/>
      <c r="C46" s="69"/>
      <c r="D46" s="6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70"/>
      <c r="C47" s="69"/>
      <c r="D47" s="6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71"/>
      <c r="D48" s="6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/>
      <c r="C49" s="69"/>
      <c r="D49" s="7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6"/>
      <c r="C50" s="73">
        <f t="shared" ref="C50:D50" si="3">SUM(C46:C49)</f>
        <v>0</v>
      </c>
      <c r="D50" s="73">
        <f t="shared" si="3"/>
        <v>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6"/>
      <c r="C51" s="15"/>
      <c r="D51" s="1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4" t="s">
        <v>85</v>
      </c>
      <c r="C52" s="75">
        <f>+C43</f>
        <v>42780</v>
      </c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76" t="s">
        <v>86</v>
      </c>
      <c r="C53" s="77">
        <f>+C42</f>
        <v>568</v>
      </c>
      <c r="D53" s="5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6" t="s">
        <v>87</v>
      </c>
      <c r="C54" s="77">
        <f>+C50</f>
        <v>0</v>
      </c>
      <c r="D54" s="5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74" t="s">
        <v>88</v>
      </c>
      <c r="C55" s="77">
        <f>+D50</f>
        <v>0</v>
      </c>
      <c r="D55" s="5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78" t="s">
        <v>89</v>
      </c>
      <c r="C56" s="79">
        <f>+C53-C55</f>
        <v>568</v>
      </c>
      <c r="D56" s="5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80" t="s">
        <v>90</v>
      </c>
      <c r="C57" s="32">
        <f>+C52-C54</f>
        <v>42780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430"/>
      <c r="C60" s="431"/>
      <c r="D60" s="43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433"/>
      <c r="C61" s="434"/>
      <c r="D61" s="43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433"/>
      <c r="C62" s="434"/>
      <c r="D62" s="43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436"/>
      <c r="C63" s="437"/>
      <c r="D63" s="4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J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J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J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6">
    <mergeCell ref="B60:D63"/>
    <mergeCell ref="G1:I1"/>
    <mergeCell ref="K1:M1"/>
    <mergeCell ref="B3:C3"/>
    <mergeCell ref="G19:I19"/>
    <mergeCell ref="K19:M19"/>
  </mergeCells>
  <pageMargins left="0.7" right="0.7" top="0.75" bottom="0.75" header="0" footer="0"/>
  <pageSetup scale="51" orientation="portrait"/>
  <colBreaks count="1" manualBreakCount="1">
    <brk id="14" max="62" man="1"/>
  </colBreaks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T1001"/>
  <sheetViews>
    <sheetView topLeftCell="A28" zoomScale="54" zoomScaleNormal="54" workbookViewId="0">
      <selection activeCell="AK45" sqref="AK45"/>
    </sheetView>
  </sheetViews>
  <sheetFormatPr baseColWidth="10" defaultColWidth="5.6640625" defaultRowHeight="15" customHeight="1"/>
  <cols>
    <col min="1" max="1" width="23.88671875" customWidth="1"/>
    <col min="4" max="4" width="9.33203125" customWidth="1"/>
    <col min="6" max="6" width="11" customWidth="1"/>
    <col min="9" max="9" width="7.6640625" customWidth="1"/>
    <col min="10" max="10" width="9.44140625" customWidth="1"/>
    <col min="17" max="17" width="6.88671875" customWidth="1"/>
    <col min="20" max="20" width="7.554687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0.33203125" customWidth="1"/>
    <col min="38" max="38" width="10.5546875" customWidth="1"/>
    <col min="39" max="39" width="11.6640625" customWidth="1"/>
    <col min="40" max="40" width="10.44140625" customWidth="1"/>
    <col min="42" max="42" width="24.44140625" bestFit="1" customWidth="1"/>
    <col min="43" max="43" width="8.88671875" bestFit="1" customWidth="1"/>
    <col min="44" max="44" width="7.33203125" bestFit="1" customWidth="1"/>
    <col min="45" max="45" width="10" bestFit="1" customWidth="1"/>
  </cols>
  <sheetData>
    <row r="1" spans="1:45" ht="33" customHeight="1">
      <c r="C1" s="149" t="s">
        <v>0</v>
      </c>
      <c r="D1" s="111"/>
      <c r="E1" s="20"/>
      <c r="F1" s="465">
        <v>46242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C2" s="150" t="s">
        <v>4</v>
      </c>
      <c r="D2" s="111"/>
      <c r="E2" s="20"/>
      <c r="F2" s="483" t="s">
        <v>216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21">
        <v>890</v>
      </c>
      <c r="Q2" s="422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393" t="s">
        <v>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5"/>
      <c r="AD4" s="27"/>
      <c r="AK4" s="155" t="s">
        <v>182</v>
      </c>
      <c r="AL4" s="156">
        <v>2</v>
      </c>
      <c r="AM4" s="157">
        <v>1</v>
      </c>
      <c r="AN4" s="158">
        <f t="shared" ref="AN4:AN26" si="0">AM4*AL4</f>
        <v>2</v>
      </c>
      <c r="AP4" s="155" t="s">
        <v>209</v>
      </c>
      <c r="AQ4" s="156">
        <v>2.5</v>
      </c>
      <c r="AR4" s="157"/>
      <c r="AS4" s="158">
        <f t="shared" ref="AS4:AS26" si="1">AR4*AQ4</f>
        <v>0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200" t="s">
        <v>15</v>
      </c>
      <c r="AK6" s="155" t="s">
        <v>192</v>
      </c>
      <c r="AL6" s="156">
        <v>2</v>
      </c>
      <c r="AM6" s="157">
        <v>2</v>
      </c>
      <c r="AN6" s="158">
        <f t="shared" si="0"/>
        <v>4</v>
      </c>
      <c r="AP6" s="155" t="s">
        <v>210</v>
      </c>
      <c r="AQ6" s="156">
        <v>1</v>
      </c>
      <c r="AR6" s="157"/>
      <c r="AS6" s="158">
        <f t="shared" si="1"/>
        <v>0</v>
      </c>
    </row>
    <row r="7" spans="1:45" ht="33" customHeight="1">
      <c r="A7" s="169" t="s">
        <v>16</v>
      </c>
      <c r="B7" s="170">
        <v>1</v>
      </c>
      <c r="C7" s="170">
        <v>1</v>
      </c>
      <c r="D7" s="170">
        <v>1</v>
      </c>
      <c r="E7" s="201">
        <v>1</v>
      </c>
      <c r="F7" s="201">
        <v>1</v>
      </c>
      <c r="G7" s="201">
        <v>1</v>
      </c>
      <c r="H7" s="201">
        <v>1</v>
      </c>
      <c r="I7" s="170">
        <v>1</v>
      </c>
      <c r="J7" s="201">
        <v>1</v>
      </c>
      <c r="K7" s="201"/>
      <c r="L7" s="201"/>
      <c r="M7" s="201">
        <v>1</v>
      </c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/>
      <c r="AD7" s="172">
        <f>+C18+D18+F18+J18+K18+L18+M18</f>
        <v>13</v>
      </c>
      <c r="AE7" s="173">
        <v>1</v>
      </c>
      <c r="AF7" s="174"/>
      <c r="AG7" s="175"/>
      <c r="AH7" s="175"/>
      <c r="AI7" s="176">
        <f t="shared" ref="AI7:AI10" si="2">SUM(AE7:AH7)</f>
        <v>1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>
        <v>1</v>
      </c>
      <c r="AS7" s="158">
        <f t="shared" si="1"/>
        <v>0.3</v>
      </c>
    </row>
    <row r="8" spans="1:45" ht="33" customHeight="1">
      <c r="A8" s="177" t="s">
        <v>41</v>
      </c>
      <c r="B8" s="170"/>
      <c r="C8" s="170">
        <v>1</v>
      </c>
      <c r="D8" s="201">
        <v>1</v>
      </c>
      <c r="E8" s="201">
        <v>1</v>
      </c>
      <c r="F8" s="201">
        <v>1</v>
      </c>
      <c r="G8" s="201">
        <v>1</v>
      </c>
      <c r="H8" s="201">
        <v>1</v>
      </c>
      <c r="I8" s="201">
        <v>1</v>
      </c>
      <c r="J8" s="201">
        <v>1</v>
      </c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/>
      <c r="AD8" s="172">
        <f>+B18+E18+G18+H18+I18+K18</f>
        <v>14</v>
      </c>
      <c r="AE8" s="172">
        <v>4</v>
      </c>
      <c r="AF8" s="174"/>
      <c r="AG8" s="175"/>
      <c r="AH8" s="175"/>
      <c r="AI8" s="176">
        <f t="shared" si="2"/>
        <v>4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78"/>
      <c r="B9" s="179"/>
      <c r="C9" s="179">
        <v>1</v>
      </c>
      <c r="D9" s="282">
        <v>1</v>
      </c>
      <c r="E9" s="282">
        <v>1</v>
      </c>
      <c r="F9" s="282"/>
      <c r="G9" s="282">
        <v>1</v>
      </c>
      <c r="H9" s="282"/>
      <c r="I9" s="282">
        <v>1</v>
      </c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8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/>
      <c r="AN9" s="158">
        <f t="shared" si="0"/>
        <v>0</v>
      </c>
      <c r="AP9" s="155" t="s">
        <v>19</v>
      </c>
      <c r="AQ9" s="156">
        <v>1</v>
      </c>
      <c r="AR9" s="157">
        <v>2</v>
      </c>
      <c r="AS9" s="158">
        <f t="shared" si="1"/>
        <v>2</v>
      </c>
    </row>
    <row r="10" spans="1:45" ht="33" customHeight="1">
      <c r="A10" s="181"/>
      <c r="B10" s="182"/>
      <c r="C10" s="182"/>
      <c r="D10" s="182">
        <v>1</v>
      </c>
      <c r="E10" s="182">
        <v>1</v>
      </c>
      <c r="F10" s="182"/>
      <c r="G10" s="182">
        <v>1</v>
      </c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/>
      <c r="AS10" s="158">
        <f t="shared" si="1"/>
        <v>0</v>
      </c>
    </row>
    <row r="11" spans="1:45" ht="33" customHeight="1">
      <c r="A11" s="183"/>
      <c r="B11" s="213"/>
      <c r="C11" s="213"/>
      <c r="D11" s="213">
        <v>1</v>
      </c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185">
        <f>SUM(AD7:AD10)</f>
        <v>27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>
        <v>1</v>
      </c>
      <c r="AN11" s="158">
        <f t="shared" si="0"/>
        <v>3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191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</v>
      </c>
      <c r="AM12" s="157">
        <v>1</v>
      </c>
      <c r="AN12" s="158">
        <f t="shared" si="0"/>
        <v>2</v>
      </c>
      <c r="AP12" s="155" t="s">
        <v>219</v>
      </c>
      <c r="AQ12" s="156">
        <v>2</v>
      </c>
      <c r="AR12" s="157">
        <v>1</v>
      </c>
      <c r="AS12" s="158">
        <f t="shared" si="1"/>
        <v>2</v>
      </c>
    </row>
    <row r="13" spans="1:45" ht="33" customHeight="1">
      <c r="A13" s="71"/>
      <c r="B13" s="191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 t="shared" si="0"/>
        <v>0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 t="shared" si="0"/>
        <v>0</v>
      </c>
      <c r="AP15" s="155"/>
      <c r="AQ15" s="156"/>
      <c r="AR15" s="157"/>
      <c r="AS15" s="158">
        <f t="shared" si="1"/>
        <v>0</v>
      </c>
    </row>
    <row r="16" spans="1:45" ht="33" customHeight="1"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>
        <v>1</v>
      </c>
      <c r="AN17" s="158">
        <f t="shared" si="0"/>
        <v>6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1</v>
      </c>
      <c r="C18" s="197">
        <f t="shared" si="3"/>
        <v>3</v>
      </c>
      <c r="D18" s="197">
        <f t="shared" si="3"/>
        <v>5</v>
      </c>
      <c r="E18" s="197">
        <f t="shared" si="3"/>
        <v>4</v>
      </c>
      <c r="F18" s="197">
        <f t="shared" si="3"/>
        <v>2</v>
      </c>
      <c r="G18" s="197">
        <f t="shared" si="3"/>
        <v>4</v>
      </c>
      <c r="H18" s="197">
        <f t="shared" si="3"/>
        <v>2</v>
      </c>
      <c r="I18" s="197">
        <f t="shared" si="3"/>
        <v>3</v>
      </c>
      <c r="J18" s="197">
        <f t="shared" si="3"/>
        <v>2</v>
      </c>
      <c r="K18" s="197">
        <f t="shared" si="3"/>
        <v>0</v>
      </c>
      <c r="L18" s="197">
        <f t="shared" si="3"/>
        <v>0</v>
      </c>
      <c r="M18" s="197">
        <f t="shared" si="3"/>
        <v>1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>
        <v>1</v>
      </c>
      <c r="AN18" s="158">
        <f t="shared" si="0"/>
        <v>2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393" t="s">
        <v>184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5"/>
      <c r="AD20" s="27"/>
      <c r="AK20" s="195" t="s">
        <v>203</v>
      </c>
      <c r="AL20" s="156">
        <v>2</v>
      </c>
      <c r="AM20" s="199"/>
      <c r="AN20" s="158">
        <f t="shared" si="0"/>
        <v>0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200" t="s">
        <v>15</v>
      </c>
      <c r="AK22" s="195" t="s">
        <v>205</v>
      </c>
      <c r="AL22" s="156">
        <v>1</v>
      </c>
      <c r="AM22" s="199"/>
      <c r="AN22" s="158">
        <f t="shared" si="0"/>
        <v>0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286"/>
      <c r="C23" s="170">
        <v>1</v>
      </c>
      <c r="D23" s="201"/>
      <c r="E23" s="201"/>
      <c r="F23" s="201"/>
      <c r="G23" s="201"/>
      <c r="H23" s="201">
        <v>1</v>
      </c>
      <c r="I23" s="201"/>
      <c r="J23" s="201"/>
      <c r="K23" s="201"/>
      <c r="L23" s="201">
        <v>1</v>
      </c>
      <c r="M23" s="201">
        <v>1</v>
      </c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87"/>
      <c r="Z23" s="287"/>
      <c r="AA23" s="287"/>
      <c r="AB23" s="287"/>
      <c r="AC23" s="281"/>
      <c r="AD23" s="203">
        <f>+C34+D34+F34+J34+L34+M34</f>
        <v>3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 t="shared" si="0"/>
        <v>0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177" t="s">
        <v>41</v>
      </c>
      <c r="B24" s="286"/>
      <c r="C24" s="286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1"/>
      <c r="AD24" s="203">
        <f>+B34+E34+G34+H34+I34+K34</f>
        <v>1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/>
      <c r="AN24" s="158">
        <f t="shared" si="0"/>
        <v>0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78"/>
      <c r="B25" s="208"/>
      <c r="C25" s="208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/>
      <c r="AN25" s="158">
        <f t="shared" si="0"/>
        <v>0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/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/>
      <c r="AN26" s="158">
        <f t="shared" si="0"/>
        <v>0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4</v>
      </c>
      <c r="AE27" s="215"/>
      <c r="AF27" s="215"/>
      <c r="AG27" s="216"/>
      <c r="AH27" s="216"/>
      <c r="AI27" s="216"/>
      <c r="AJ27"/>
      <c r="AN27" s="217">
        <f>SUM(AN3:AN26)</f>
        <v>19</v>
      </c>
      <c r="AS27" s="217">
        <f>SUM(AS3:AS26)</f>
        <v>4.3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4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0</v>
      </c>
      <c r="C34" s="197">
        <f t="shared" si="6"/>
        <v>1</v>
      </c>
      <c r="D34" s="197">
        <f t="shared" si="6"/>
        <v>0</v>
      </c>
      <c r="E34" s="197">
        <f t="shared" si="6"/>
        <v>0</v>
      </c>
      <c r="F34" s="197">
        <f t="shared" si="6"/>
        <v>0</v>
      </c>
      <c r="G34" s="197">
        <f t="shared" si="6"/>
        <v>0</v>
      </c>
      <c r="H34" s="197">
        <f t="shared" si="6"/>
        <v>1</v>
      </c>
      <c r="I34" s="197">
        <f t="shared" si="6"/>
        <v>0</v>
      </c>
      <c r="J34" s="197">
        <f t="shared" si="6"/>
        <v>0</v>
      </c>
      <c r="K34" s="197">
        <f t="shared" si="6"/>
        <v>0</v>
      </c>
      <c r="L34" s="197">
        <f t="shared" si="6"/>
        <v>1</v>
      </c>
      <c r="M34" s="197">
        <f t="shared" si="6"/>
        <v>1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57" t="s">
        <v>28</v>
      </c>
      <c r="B36" s="458"/>
      <c r="C36" s="458"/>
      <c r="D36" s="458"/>
      <c r="E36" s="458"/>
      <c r="F36" s="458"/>
      <c r="G36" s="458"/>
      <c r="H36" s="458"/>
      <c r="I36" s="459"/>
      <c r="O36" s="460" t="s">
        <v>29</v>
      </c>
      <c r="P36" s="461"/>
      <c r="Q36" s="461"/>
      <c r="R36" s="462"/>
      <c r="S36" s="460" t="s">
        <v>185</v>
      </c>
      <c r="T36" s="461"/>
      <c r="U36" s="463"/>
      <c r="V36" s="464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31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396.5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13</v>
      </c>
      <c r="P38" s="348"/>
      <c r="Q38" s="347">
        <f>AI7</f>
        <v>1</v>
      </c>
      <c r="R38" s="348"/>
      <c r="S38" s="347">
        <f>AD23</f>
        <v>3</v>
      </c>
      <c r="T38" s="348"/>
      <c r="U38" s="355">
        <f>S38*H38+O38*D38+Q38*F38</f>
        <v>192.5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14</v>
      </c>
      <c r="P39" s="348"/>
      <c r="Q39" s="347">
        <f>AI8</f>
        <v>4</v>
      </c>
      <c r="R39" s="348"/>
      <c r="S39" s="347">
        <f>AD24</f>
        <v>1</v>
      </c>
      <c r="T39" s="348"/>
      <c r="U39" s="355">
        <f t="shared" ref="U39:U41" si="7">S39*H39+O39*D39+Q39*F39</f>
        <v>204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364"/>
      <c r="E40" s="365"/>
      <c r="F40" s="364"/>
      <c r="G40" s="365"/>
      <c r="H40" s="364"/>
      <c r="I40" s="365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7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23.3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324"/>
      <c r="E41" s="325"/>
      <c r="F41" s="324"/>
      <c r="G41" s="325"/>
      <c r="H41" s="324"/>
      <c r="I41" s="325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7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419.8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27</v>
      </c>
      <c r="P42" s="348"/>
      <c r="Q42" s="347">
        <f t="shared" ref="Q42" si="8">SUM(Q38:R41)</f>
        <v>5</v>
      </c>
      <c r="R42" s="348"/>
      <c r="S42" s="347">
        <f t="shared" ref="S42" si="9">SUM(S38:T41)</f>
        <v>4</v>
      </c>
      <c r="T42" s="348"/>
      <c r="U42" s="347">
        <f>SUM(U38:V41)</f>
        <v>396.5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419.92359550561798</v>
      </c>
      <c r="AG42" s="315"/>
      <c r="AL42" s="2"/>
    </row>
    <row r="43" spans="1:46" ht="33" customHeight="1">
      <c r="AF43" s="351">
        <f>AF42-AF41</f>
        <v>0.1235955056179705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>
        <v>1</v>
      </c>
      <c r="F45" s="247">
        <f>E45*C45</f>
        <v>10</v>
      </c>
      <c r="H45" s="312">
        <v>1</v>
      </c>
      <c r="I45" s="312"/>
      <c r="J45" s="247">
        <v>2</v>
      </c>
      <c r="K45" s="247">
        <f>J45*H45</f>
        <v>2</v>
      </c>
      <c r="O45" s="337" t="s">
        <v>49</v>
      </c>
      <c r="P45" s="337"/>
      <c r="Q45" s="337"/>
      <c r="R45" s="337"/>
      <c r="S45" s="454">
        <f>F51</f>
        <v>11680</v>
      </c>
      <c r="T45" s="454"/>
      <c r="U45" s="454"/>
      <c r="V45" s="327">
        <f>S45/P2</f>
        <v>13.123595505617978</v>
      </c>
      <c r="W45" s="327"/>
      <c r="X45" s="327"/>
    </row>
    <row r="46" spans="1:46" ht="33" customHeight="1">
      <c r="C46" s="311">
        <v>20</v>
      </c>
      <c r="D46" s="311"/>
      <c r="E46" s="247">
        <v>1</v>
      </c>
      <c r="F46" s="247">
        <f t="shared" ref="F46:F50" si="10">E46*C46</f>
        <v>20</v>
      </c>
      <c r="H46" s="312">
        <v>5</v>
      </c>
      <c r="I46" s="312"/>
      <c r="J46" s="247">
        <v>1</v>
      </c>
      <c r="K46" s="247">
        <f t="shared" ref="K46:K50" si="11">J46*H46</f>
        <v>5</v>
      </c>
      <c r="O46" s="326" t="s">
        <v>50</v>
      </c>
      <c r="P46" s="326"/>
      <c r="Q46" s="326"/>
      <c r="R46" s="326"/>
      <c r="S46" s="492">
        <v>222322</v>
      </c>
      <c r="T46" s="493"/>
      <c r="U46" s="494"/>
      <c r="V46" s="327">
        <f>S46/P2</f>
        <v>249.8</v>
      </c>
      <c r="W46" s="327"/>
      <c r="X46" s="327"/>
    </row>
    <row r="47" spans="1:46" ht="33" customHeight="1">
      <c r="C47" s="311">
        <v>50</v>
      </c>
      <c r="D47" s="311"/>
      <c r="E47" s="50">
        <v>1</v>
      </c>
      <c r="F47" s="247">
        <f t="shared" si="10"/>
        <v>50</v>
      </c>
      <c r="H47" s="312">
        <v>10</v>
      </c>
      <c r="I47" s="312"/>
      <c r="J47" s="50"/>
      <c r="K47" s="247">
        <f t="shared" si="11"/>
        <v>0</v>
      </c>
      <c r="O47" s="326" t="s">
        <v>47</v>
      </c>
      <c r="P47" s="326"/>
      <c r="Q47" s="326"/>
      <c r="R47" s="326"/>
      <c r="S47" s="327">
        <f>K51</f>
        <v>157</v>
      </c>
      <c r="T47" s="327"/>
      <c r="U47" s="328"/>
      <c r="V47" s="327">
        <f>S47</f>
        <v>157</v>
      </c>
      <c r="W47" s="327"/>
      <c r="X47" s="327"/>
    </row>
    <row r="48" spans="1:46" ht="33" customHeight="1">
      <c r="C48" s="311">
        <v>100</v>
      </c>
      <c r="D48" s="311"/>
      <c r="E48" s="50">
        <v>1</v>
      </c>
      <c r="F48" s="247">
        <f t="shared" si="10"/>
        <v>100</v>
      </c>
      <c r="H48" s="312">
        <v>20</v>
      </c>
      <c r="I48" s="312"/>
      <c r="J48" s="50"/>
      <c r="K48" s="247">
        <f t="shared" si="11"/>
        <v>0</v>
      </c>
      <c r="O48" s="248"/>
      <c r="P48" s="248"/>
      <c r="Q48" s="248"/>
      <c r="R48" s="248"/>
      <c r="S48" s="330"/>
      <c r="T48" s="330"/>
      <c r="U48" s="330"/>
      <c r="V48" s="451">
        <f>SUM(V45:V47)</f>
        <v>419.92359550561798</v>
      </c>
      <c r="W48" s="452"/>
      <c r="X48" s="453"/>
    </row>
    <row r="49" spans="3:24" ht="33" customHeight="1">
      <c r="C49" s="311">
        <v>200</v>
      </c>
      <c r="D49" s="311"/>
      <c r="E49" s="50"/>
      <c r="F49" s="247">
        <f t="shared" si="10"/>
        <v>0</v>
      </c>
      <c r="H49" s="312">
        <v>50</v>
      </c>
      <c r="I49" s="312"/>
      <c r="J49" s="50">
        <v>1</v>
      </c>
      <c r="K49" s="247">
        <f t="shared" si="11"/>
        <v>50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23</v>
      </c>
      <c r="F50" s="50">
        <f t="shared" si="10"/>
        <v>11500</v>
      </c>
      <c r="H50" s="312">
        <v>100</v>
      </c>
      <c r="I50" s="312"/>
      <c r="J50" s="50">
        <v>1</v>
      </c>
      <c r="K50" s="247">
        <f t="shared" si="11"/>
        <v>100</v>
      </c>
    </row>
    <row r="51" spans="3:24" ht="33" customHeight="1">
      <c r="F51" s="250">
        <f>SUM(F45:F50)</f>
        <v>11680</v>
      </c>
      <c r="K51" s="250">
        <f>SUM(K45:K50)</f>
        <v>157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13</v>
      </c>
      <c r="G91" s="230"/>
      <c r="H91" s="238">
        <f>AE7</f>
        <v>1</v>
      </c>
      <c r="I91" s="230"/>
      <c r="J91" s="238">
        <f>F91*D38+H91*F38</f>
        <v>132.5</v>
      </c>
      <c r="K91" s="230"/>
      <c r="L91" s="21"/>
      <c r="M91" s="238">
        <f>AD23</f>
        <v>3</v>
      </c>
      <c r="N91" s="230"/>
      <c r="O91" s="254">
        <f>AE23</f>
        <v>0</v>
      </c>
      <c r="P91" s="230"/>
      <c r="Q91" s="238">
        <f>M91*H38+O91*F38</f>
        <v>60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14</v>
      </c>
      <c r="G92" s="230"/>
      <c r="H92" s="238">
        <f>AE8</f>
        <v>4</v>
      </c>
      <c r="I92" s="230"/>
      <c r="J92" s="238">
        <f>F92*D39+H92*F39</f>
        <v>180</v>
      </c>
      <c r="K92" s="230"/>
      <c r="L92" s="21"/>
      <c r="M92" s="238">
        <f>AD24</f>
        <v>1</v>
      </c>
      <c r="N92" s="230"/>
      <c r="O92" s="254">
        <f>AE24</f>
        <v>0</v>
      </c>
      <c r="P92" s="230"/>
      <c r="Q92" s="238">
        <f>M92*H39+O92*F39</f>
        <v>24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27</v>
      </c>
      <c r="G96" s="230"/>
      <c r="H96" s="266">
        <f>SUM(H91:H94)</f>
        <v>5</v>
      </c>
      <c r="I96" s="230"/>
      <c r="J96" s="265" t="e">
        <f>SUM(J91:K95)</f>
        <v>#REF!</v>
      </c>
      <c r="K96" s="230"/>
      <c r="L96" s="21"/>
      <c r="M96" s="265">
        <f>SUM(M91:M94)</f>
        <v>4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31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17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17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1">
    <mergeCell ref="F1:J1"/>
    <mergeCell ref="K1:L1"/>
    <mergeCell ref="M1:Q1"/>
    <mergeCell ref="AK1:AN1"/>
    <mergeCell ref="F2:L2"/>
    <mergeCell ref="M2:O2"/>
    <mergeCell ref="P2:Q2"/>
    <mergeCell ref="B4:AC4"/>
    <mergeCell ref="AE6:AH6"/>
    <mergeCell ref="AE22:AH22"/>
    <mergeCell ref="AK29:AN29"/>
    <mergeCell ref="A36:I36"/>
    <mergeCell ref="O36:R36"/>
    <mergeCell ref="S36:V36"/>
    <mergeCell ref="Z36:AE36"/>
    <mergeCell ref="AF36:AG36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AF37:AG37"/>
    <mergeCell ref="Z38:AE38"/>
    <mergeCell ref="AF38:AG38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Z39:AE39"/>
    <mergeCell ref="AF39:AG39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O41:P41"/>
    <mergeCell ref="Q41:R41"/>
    <mergeCell ref="S41:T41"/>
    <mergeCell ref="U41:V41"/>
    <mergeCell ref="Z41:AE41"/>
    <mergeCell ref="AF41:AG41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A5:A6"/>
    <mergeCell ref="A21:A22"/>
    <mergeCell ref="C47:D47"/>
    <mergeCell ref="H47:I47"/>
    <mergeCell ref="B20:AC20"/>
    <mergeCell ref="O47:R47"/>
    <mergeCell ref="S47:U47"/>
    <mergeCell ref="V47:X47"/>
    <mergeCell ref="C48:D48"/>
    <mergeCell ref="H48:I48"/>
    <mergeCell ref="S48:U48"/>
    <mergeCell ref="V48:X48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2:T42"/>
    <mergeCell ref="U42:V42"/>
    <mergeCell ref="Z42:AE42"/>
    <mergeCell ref="AF42:AG42"/>
    <mergeCell ref="AF43:AG43"/>
    <mergeCell ref="C44:F44"/>
    <mergeCell ref="H44:K44"/>
    <mergeCell ref="O44:X44"/>
    <mergeCell ref="Z40:AE40"/>
    <mergeCell ref="AF40:AG40"/>
    <mergeCell ref="A41:C41"/>
    <mergeCell ref="D41:E41"/>
    <mergeCell ref="F41:G41"/>
    <mergeCell ref="H41:I41"/>
    <mergeCell ref="L41:N4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001"/>
  <sheetViews>
    <sheetView zoomScale="98" zoomScaleNormal="98" workbookViewId="0">
      <selection activeCell="D7" sqref="D7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4.6640625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+VIERNES!P2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VIERNES!F1</f>
        <v>46242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VIERNES!AF36</f>
        <v>31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VIERNES!AF37*VIERNES!P2</f>
        <v>352885</v>
      </c>
      <c r="D9" s="129">
        <f>+C9/D5</f>
        <v>396.5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+VIERNES!AF38*'CIERRE VIERNES'!D5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VIERNES!AF40*VIERNES!P2</f>
        <v>20737</v>
      </c>
      <c r="D11" s="129">
        <f>+C11/D5</f>
        <v>23.3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+VIERNES!AF39*'CIERRE VIERNES'!D5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373622</v>
      </c>
      <c r="D15" s="129">
        <f>+C15/D5</f>
        <v>419.8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VIERNES!K51</f>
        <v>157</v>
      </c>
      <c r="D19" s="133">
        <f>+C19</f>
        <v>157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VIERNES!F51</f>
        <v>11680</v>
      </c>
      <c r="D20" s="133">
        <f>+C20/D5</f>
        <v>13.123595505617978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VIERNES!S46</f>
        <v>222322</v>
      </c>
      <c r="D21" s="133">
        <f>+C21/D5</f>
        <v>249.8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157</v>
      </c>
      <c r="D23" s="135">
        <f>SUM(D19:D22)</f>
        <v>419.92359550561798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11680</v>
      </c>
      <c r="D24" s="65">
        <f>D23-D15</f>
        <v>0.1235955056179705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11680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157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157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11680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95" t="s">
        <v>92</v>
      </c>
      <c r="C41" s="496"/>
      <c r="D41" s="49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98"/>
      <c r="C42" s="499"/>
      <c r="D42" s="50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98"/>
      <c r="C43" s="499"/>
      <c r="D43" s="50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501"/>
      <c r="C44" s="502"/>
      <c r="D44" s="50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T1001"/>
  <sheetViews>
    <sheetView zoomScale="57" zoomScaleNormal="57" workbookViewId="0">
      <selection activeCell="A37" sqref="A37"/>
    </sheetView>
  </sheetViews>
  <sheetFormatPr baseColWidth="10" defaultColWidth="5.6640625" defaultRowHeight="15" customHeight="1"/>
  <cols>
    <col min="1" max="1" width="23.88671875" customWidth="1"/>
    <col min="4" max="4" width="9.33203125" customWidth="1"/>
    <col min="5" max="5" width="5.6640625" customWidth="1"/>
    <col min="6" max="6" width="8.44140625" customWidth="1"/>
    <col min="9" max="9" width="7.4414062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30.33203125" customWidth="1"/>
    <col min="38" max="38" width="10.5546875" customWidth="1"/>
    <col min="39" max="39" width="11.6640625" customWidth="1"/>
    <col min="40" max="40" width="10.44140625" customWidth="1"/>
    <col min="42" max="42" width="23.109375" bestFit="1" customWidth="1"/>
    <col min="43" max="43" width="8.44140625" bestFit="1" customWidth="1"/>
    <col min="44" max="44" width="6.88671875" bestFit="1" customWidth="1"/>
    <col min="45" max="45" width="9.6640625" bestFit="1" customWidth="1"/>
  </cols>
  <sheetData>
    <row r="1" spans="1:45" ht="33" customHeight="1">
      <c r="C1" s="149" t="s">
        <v>0</v>
      </c>
      <c r="D1" s="111"/>
      <c r="E1" s="20"/>
      <c r="F1" s="465">
        <v>46242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C2" s="150" t="s">
        <v>4</v>
      </c>
      <c r="D2" s="111"/>
      <c r="E2" s="20"/>
      <c r="F2" s="483" t="s">
        <v>217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42">
        <v>890</v>
      </c>
      <c r="Q2" s="443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504" t="s">
        <v>10</v>
      </c>
      <c r="C4" s="505"/>
      <c r="D4" s="505"/>
      <c r="E4" s="505"/>
      <c r="F4" s="505"/>
      <c r="G4" s="505"/>
      <c r="H4" s="505"/>
      <c r="I4" s="505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505"/>
      <c r="AA4" s="505"/>
      <c r="AB4" s="505"/>
      <c r="AC4" s="506"/>
      <c r="AD4" s="27"/>
      <c r="AK4" s="155" t="s">
        <v>182</v>
      </c>
      <c r="AL4" s="156">
        <v>2</v>
      </c>
      <c r="AM4" s="157">
        <v>5</v>
      </c>
      <c r="AN4" s="158">
        <f t="shared" ref="AN4:AN26" si="0">AM4*AL4</f>
        <v>10</v>
      </c>
      <c r="AP4" s="155" t="s">
        <v>209</v>
      </c>
      <c r="AQ4" s="156">
        <v>2.5</v>
      </c>
      <c r="AR4" s="157">
        <v>1</v>
      </c>
      <c r="AS4" s="158">
        <f t="shared" ref="AS4:AS26" si="1">AR4*AQ4</f>
        <v>2.5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200" t="s">
        <v>15</v>
      </c>
      <c r="AK6" s="155" t="s">
        <v>192</v>
      </c>
      <c r="AL6" s="156">
        <v>2</v>
      </c>
      <c r="AM6" s="157">
        <v>3</v>
      </c>
      <c r="AN6" s="158">
        <f t="shared" si="0"/>
        <v>6</v>
      </c>
      <c r="AP6" s="155" t="s">
        <v>210</v>
      </c>
      <c r="AQ6" s="156">
        <v>1</v>
      </c>
      <c r="AR6" s="157"/>
      <c r="AS6" s="158">
        <f t="shared" si="1"/>
        <v>0</v>
      </c>
    </row>
    <row r="7" spans="1:45" ht="33" customHeight="1">
      <c r="A7" s="169" t="s">
        <v>16</v>
      </c>
      <c r="B7" s="170">
        <v>1</v>
      </c>
      <c r="C7" s="170">
        <v>1</v>
      </c>
      <c r="D7" s="170">
        <v>1</v>
      </c>
      <c r="E7" s="170">
        <v>1</v>
      </c>
      <c r="F7" s="170">
        <v>1</v>
      </c>
      <c r="G7" s="170">
        <v>1</v>
      </c>
      <c r="H7" s="170">
        <v>1</v>
      </c>
      <c r="I7" s="170"/>
      <c r="J7" s="170">
        <v>1</v>
      </c>
      <c r="K7" s="170">
        <v>1</v>
      </c>
      <c r="L7" s="170">
        <v>1</v>
      </c>
      <c r="M7" s="170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/>
      <c r="AD7" s="310">
        <f>+C18+D18+F18+J18+L18+M18</f>
        <v>21</v>
      </c>
      <c r="AE7" s="173">
        <v>4</v>
      </c>
      <c r="AF7" s="174"/>
      <c r="AG7" s="175"/>
      <c r="AH7" s="175"/>
      <c r="AI7" s="176">
        <f t="shared" ref="AI7:AI10" si="2">SUM(AE7:AH7)</f>
        <v>4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/>
      <c r="AS7" s="158">
        <f t="shared" si="1"/>
        <v>0</v>
      </c>
    </row>
    <row r="8" spans="1:45" ht="33" customHeight="1">
      <c r="A8" s="177" t="s">
        <v>41</v>
      </c>
      <c r="B8" s="170">
        <v>1</v>
      </c>
      <c r="C8" s="170">
        <v>1</v>
      </c>
      <c r="D8" s="170">
        <v>1</v>
      </c>
      <c r="E8" s="170">
        <v>1</v>
      </c>
      <c r="F8" s="170"/>
      <c r="G8" s="170">
        <v>1</v>
      </c>
      <c r="H8" s="170">
        <v>1</v>
      </c>
      <c r="I8" s="170"/>
      <c r="J8" s="170">
        <v>1</v>
      </c>
      <c r="K8" s="170">
        <v>1</v>
      </c>
      <c r="L8" s="170">
        <v>1</v>
      </c>
      <c r="M8" s="170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81"/>
      <c r="AD8" s="172">
        <f>+B18+E18+G18+H18+I18+K18</f>
        <v>18</v>
      </c>
      <c r="AE8" s="172"/>
      <c r="AF8" s="174"/>
      <c r="AG8" s="175"/>
      <c r="AH8" s="175"/>
      <c r="AI8" s="176">
        <f t="shared" si="2"/>
        <v>0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78"/>
      <c r="B9" s="179">
        <v>1</v>
      </c>
      <c r="C9" s="179">
        <v>1</v>
      </c>
      <c r="D9" s="179">
        <v>1</v>
      </c>
      <c r="E9" s="179"/>
      <c r="F9" s="179"/>
      <c r="G9" s="179">
        <v>1</v>
      </c>
      <c r="H9" s="179"/>
      <c r="I9" s="179"/>
      <c r="J9" s="179">
        <v>1</v>
      </c>
      <c r="K9" s="179">
        <v>1</v>
      </c>
      <c r="L9" s="179">
        <v>1</v>
      </c>
      <c r="M9" s="179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10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/>
      <c r="AN9" s="158">
        <f t="shared" si="0"/>
        <v>0</v>
      </c>
      <c r="AP9" s="155" t="s">
        <v>19</v>
      </c>
      <c r="AQ9" s="156">
        <v>1</v>
      </c>
      <c r="AR9" s="157">
        <v>3</v>
      </c>
      <c r="AS9" s="158">
        <f t="shared" si="1"/>
        <v>3</v>
      </c>
    </row>
    <row r="10" spans="1:45" ht="33" customHeight="1">
      <c r="A10" s="181"/>
      <c r="B10" s="182">
        <v>1</v>
      </c>
      <c r="C10" s="182">
        <v>1</v>
      </c>
      <c r="D10" s="182"/>
      <c r="E10" s="182"/>
      <c r="F10" s="182"/>
      <c r="G10" s="182">
        <v>1</v>
      </c>
      <c r="H10" s="182"/>
      <c r="I10" s="182"/>
      <c r="J10" s="182">
        <v>1</v>
      </c>
      <c r="K10" s="182"/>
      <c r="L10" s="182">
        <v>1</v>
      </c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90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/>
      <c r="AS10" s="158">
        <f t="shared" si="1"/>
        <v>0</v>
      </c>
    </row>
    <row r="11" spans="1:45" ht="33" customHeight="1">
      <c r="A11" s="183"/>
      <c r="B11" s="184"/>
      <c r="C11" s="184">
        <v>1</v>
      </c>
      <c r="D11" s="184"/>
      <c r="E11" s="184"/>
      <c r="F11" s="184"/>
      <c r="G11" s="184">
        <v>1</v>
      </c>
      <c r="H11" s="184"/>
      <c r="I11" s="184"/>
      <c r="J11" s="184">
        <v>1</v>
      </c>
      <c r="K11" s="184"/>
      <c r="L11" s="184">
        <v>1</v>
      </c>
      <c r="M11" s="184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4"/>
      <c r="AD11" s="185">
        <f>SUM(AD7:AD10)</f>
        <v>39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>
        <v>6</v>
      </c>
      <c r="AN11" s="158">
        <f t="shared" si="0"/>
        <v>18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285"/>
      <c r="C12" s="182">
        <v>1</v>
      </c>
      <c r="D12" s="182"/>
      <c r="E12" s="182"/>
      <c r="F12" s="182"/>
      <c r="G12" s="182">
        <v>1</v>
      </c>
      <c r="H12" s="182"/>
      <c r="I12" s="182"/>
      <c r="J12" s="182"/>
      <c r="K12" s="182"/>
      <c r="L12" s="182">
        <v>1</v>
      </c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90"/>
      <c r="AD12" s="14"/>
      <c r="AE12" s="14"/>
      <c r="AK12" s="155" t="s">
        <v>197</v>
      </c>
      <c r="AL12" s="156">
        <v>2</v>
      </c>
      <c r="AM12" s="157">
        <v>1</v>
      </c>
      <c r="AN12" s="158">
        <f t="shared" si="0"/>
        <v>2</v>
      </c>
      <c r="AP12" s="155"/>
      <c r="AQ12" s="156"/>
      <c r="AR12" s="157"/>
      <c r="AS12" s="158">
        <f t="shared" si="1"/>
        <v>0</v>
      </c>
    </row>
    <row r="13" spans="1:45" ht="33" customHeight="1">
      <c r="A13" s="71"/>
      <c r="B13" s="189"/>
      <c r="C13" s="190"/>
      <c r="D13" s="190"/>
      <c r="E13" s="190"/>
      <c r="F13" s="190"/>
      <c r="G13" s="190">
        <v>1</v>
      </c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 t="shared" si="0"/>
        <v>0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>
        <v>2</v>
      </c>
      <c r="AN15" s="158">
        <f t="shared" si="0"/>
        <v>4</v>
      </c>
      <c r="AP15" s="155"/>
      <c r="AQ15" s="156"/>
      <c r="AR15" s="157"/>
      <c r="AS15" s="158">
        <f t="shared" si="1"/>
        <v>0</v>
      </c>
    </row>
    <row r="16" spans="1:45" ht="33" customHeight="1"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>
        <v>2</v>
      </c>
      <c r="AN17" s="158">
        <f t="shared" si="0"/>
        <v>12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4</v>
      </c>
      <c r="C18" s="197">
        <f t="shared" si="3"/>
        <v>6</v>
      </c>
      <c r="D18" s="197">
        <f t="shared" si="3"/>
        <v>3</v>
      </c>
      <c r="E18" s="197">
        <f t="shared" si="3"/>
        <v>2</v>
      </c>
      <c r="F18" s="197">
        <f t="shared" si="3"/>
        <v>1</v>
      </c>
      <c r="G18" s="197">
        <f t="shared" si="3"/>
        <v>7</v>
      </c>
      <c r="H18" s="197">
        <f t="shared" si="3"/>
        <v>2</v>
      </c>
      <c r="I18" s="197">
        <f t="shared" si="3"/>
        <v>0</v>
      </c>
      <c r="J18" s="197">
        <f t="shared" si="3"/>
        <v>5</v>
      </c>
      <c r="K18" s="197">
        <f t="shared" si="3"/>
        <v>3</v>
      </c>
      <c r="L18" s="197">
        <f t="shared" si="3"/>
        <v>6</v>
      </c>
      <c r="M18" s="197">
        <f t="shared" si="3"/>
        <v>0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>
        <v>3</v>
      </c>
      <c r="AN18" s="158">
        <f t="shared" si="0"/>
        <v>6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504" t="s">
        <v>184</v>
      </c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  <c r="Q20" s="505"/>
      <c r="R20" s="505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6"/>
      <c r="AD20" s="27"/>
      <c r="AK20" s="195" t="s">
        <v>203</v>
      </c>
      <c r="AL20" s="156">
        <v>2</v>
      </c>
      <c r="AM20" s="199">
        <v>1</v>
      </c>
      <c r="AN20" s="158">
        <f t="shared" si="0"/>
        <v>2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168" t="s">
        <v>15</v>
      </c>
      <c r="AK22" s="195" t="s">
        <v>205</v>
      </c>
      <c r="AL22" s="156">
        <v>1</v>
      </c>
      <c r="AM22" s="199"/>
      <c r="AN22" s="158">
        <f t="shared" si="0"/>
        <v>0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286"/>
      <c r="C23" s="170"/>
      <c r="D23" s="201">
        <v>1</v>
      </c>
      <c r="E23" s="201">
        <v>1</v>
      </c>
      <c r="F23" s="201">
        <v>1</v>
      </c>
      <c r="G23" s="201"/>
      <c r="H23" s="201">
        <v>1</v>
      </c>
      <c r="I23" s="201">
        <v>1</v>
      </c>
      <c r="J23" s="201"/>
      <c r="K23" s="201"/>
      <c r="L23" s="201"/>
      <c r="M23" s="201">
        <v>1</v>
      </c>
      <c r="N23" s="201"/>
      <c r="O23" s="201"/>
      <c r="P23" s="201"/>
      <c r="Q23" s="201"/>
      <c r="R23" s="201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1"/>
      <c r="AD23" s="203">
        <f>+C34+D34+F34+J34+L34+M34</f>
        <v>3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 t="shared" si="0"/>
        <v>0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177" t="s">
        <v>41</v>
      </c>
      <c r="B24" s="286"/>
      <c r="C24" s="170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1"/>
      <c r="AD24" s="203">
        <f>+B34+E34+G34+H34+I34+K34</f>
        <v>3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>
        <v>1</v>
      </c>
      <c r="AN24" s="158">
        <f t="shared" si="0"/>
        <v>2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78"/>
      <c r="B25" s="208"/>
      <c r="C25" s="208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/>
      <c r="AN25" s="158">
        <f t="shared" si="0"/>
        <v>0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/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>
        <v>2</v>
      </c>
      <c r="AN26" s="158">
        <f t="shared" si="0"/>
        <v>2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6</v>
      </c>
      <c r="AE27" s="215"/>
      <c r="AF27" s="215"/>
      <c r="AG27" s="216"/>
      <c r="AH27" s="216"/>
      <c r="AI27" s="216"/>
      <c r="AJ27"/>
      <c r="AN27" s="217">
        <f>SUM(AN3:AN26)</f>
        <v>64</v>
      </c>
      <c r="AS27" s="217">
        <f>SUM(AS3:AS26)</f>
        <v>5.5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5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0</v>
      </c>
      <c r="C34" s="197">
        <f t="shared" si="6"/>
        <v>0</v>
      </c>
      <c r="D34" s="197">
        <f t="shared" si="6"/>
        <v>1</v>
      </c>
      <c r="E34" s="197">
        <f t="shared" si="6"/>
        <v>1</v>
      </c>
      <c r="F34" s="197">
        <f t="shared" si="6"/>
        <v>1</v>
      </c>
      <c r="G34" s="197">
        <f t="shared" si="6"/>
        <v>0</v>
      </c>
      <c r="H34" s="197">
        <f t="shared" si="6"/>
        <v>1</v>
      </c>
      <c r="I34" s="197">
        <f t="shared" si="6"/>
        <v>1</v>
      </c>
      <c r="J34" s="197">
        <f t="shared" si="6"/>
        <v>0</v>
      </c>
      <c r="K34" s="197">
        <f t="shared" si="6"/>
        <v>0</v>
      </c>
      <c r="L34" s="197">
        <f t="shared" si="6"/>
        <v>0</v>
      </c>
      <c r="M34" s="197">
        <f t="shared" si="6"/>
        <v>1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57" t="s">
        <v>28</v>
      </c>
      <c r="B36" s="458"/>
      <c r="C36" s="458"/>
      <c r="D36" s="458"/>
      <c r="E36" s="458"/>
      <c r="F36" s="458"/>
      <c r="G36" s="458"/>
      <c r="H36" s="458"/>
      <c r="I36" s="459"/>
      <c r="O36" s="460" t="s">
        <v>29</v>
      </c>
      <c r="P36" s="461"/>
      <c r="Q36" s="461"/>
      <c r="R36" s="462"/>
      <c r="S36" s="460" t="s">
        <v>185</v>
      </c>
      <c r="T36" s="461"/>
      <c r="U36" s="463"/>
      <c r="V36" s="464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45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568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21</v>
      </c>
      <c r="P38" s="348"/>
      <c r="Q38" s="347">
        <f>AI7+AI23</f>
        <v>4</v>
      </c>
      <c r="R38" s="348"/>
      <c r="S38" s="347">
        <f>AD23</f>
        <v>3</v>
      </c>
      <c r="T38" s="348"/>
      <c r="U38" s="355">
        <f>S38*H38+O38*D38+Q38*F38</f>
        <v>280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41</v>
      </c>
      <c r="M39" s="373"/>
      <c r="N39" s="348"/>
      <c r="O39" s="347">
        <f>AD8</f>
        <v>18</v>
      </c>
      <c r="P39" s="348"/>
      <c r="Q39" s="347">
        <f>AI8</f>
        <v>0</v>
      </c>
      <c r="R39" s="348"/>
      <c r="S39" s="347">
        <f>AD24</f>
        <v>3</v>
      </c>
      <c r="T39" s="348"/>
      <c r="U39" s="355">
        <f t="shared" ref="U39:U41" si="7">S39*H39+O39*D39+Q39*F39</f>
        <v>288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364"/>
      <c r="E40" s="365"/>
      <c r="F40" s="364"/>
      <c r="G40" s="365"/>
      <c r="H40" s="364"/>
      <c r="I40" s="365"/>
      <c r="L40" s="366"/>
      <c r="M40" s="354"/>
      <c r="N40" s="354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7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69.5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324"/>
      <c r="E41" s="325"/>
      <c r="F41" s="324"/>
      <c r="G41" s="325"/>
      <c r="H41" s="324"/>
      <c r="I41" s="325"/>
      <c r="L41" s="353"/>
      <c r="M41" s="354"/>
      <c r="N41" s="354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7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637.5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39</v>
      </c>
      <c r="P42" s="348"/>
      <c r="Q42" s="347">
        <f t="shared" ref="Q42" si="8">SUM(Q38:R41)</f>
        <v>4</v>
      </c>
      <c r="R42" s="348"/>
      <c r="S42" s="347">
        <f t="shared" ref="S42" si="9">SUM(S38:T41)</f>
        <v>6</v>
      </c>
      <c r="T42" s="348"/>
      <c r="U42" s="347">
        <f>SUM(U38:V41)</f>
        <v>568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628.5</v>
      </c>
      <c r="AG42" s="315"/>
      <c r="AL42" s="2"/>
    </row>
    <row r="43" spans="1:46" ht="33" customHeight="1">
      <c r="AF43" s="351">
        <f>AF42-AF41</f>
        <v>-9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/>
      <c r="F45" s="247">
        <f>E45*C45</f>
        <v>0</v>
      </c>
      <c r="H45" s="312">
        <v>1</v>
      </c>
      <c r="I45" s="312"/>
      <c r="J45" s="247">
        <v>3</v>
      </c>
      <c r="K45" s="247">
        <f>J45*H45</f>
        <v>3</v>
      </c>
      <c r="O45" s="337" t="s">
        <v>49</v>
      </c>
      <c r="P45" s="337"/>
      <c r="Q45" s="337"/>
      <c r="R45" s="337"/>
      <c r="S45" s="454">
        <f>F51</f>
        <v>29370</v>
      </c>
      <c r="T45" s="454"/>
      <c r="U45" s="454"/>
      <c r="V45" s="327">
        <f>S45/P2</f>
        <v>33</v>
      </c>
      <c r="W45" s="327"/>
      <c r="X45" s="327"/>
    </row>
    <row r="46" spans="1:46" ht="33" customHeight="1">
      <c r="C46" s="311">
        <v>20</v>
      </c>
      <c r="D46" s="311"/>
      <c r="E46" s="247">
        <v>1</v>
      </c>
      <c r="F46" s="247">
        <f t="shared" ref="F46:F50" si="10">E46*C46</f>
        <v>20</v>
      </c>
      <c r="H46" s="312">
        <v>5</v>
      </c>
      <c r="I46" s="312"/>
      <c r="J46" s="247"/>
      <c r="K46" s="247">
        <f t="shared" ref="K46:K50" si="11">J46*H46</f>
        <v>0</v>
      </c>
      <c r="O46" s="326" t="s">
        <v>50</v>
      </c>
      <c r="P46" s="326"/>
      <c r="Q46" s="326"/>
      <c r="R46" s="326"/>
      <c r="S46" s="340">
        <v>322625</v>
      </c>
      <c r="T46" s="341"/>
      <c r="U46" s="342"/>
      <c r="V46" s="327">
        <f>S46/P2</f>
        <v>362.5</v>
      </c>
      <c r="W46" s="327"/>
      <c r="X46" s="327"/>
    </row>
    <row r="47" spans="1:46" ht="33" customHeight="1">
      <c r="C47" s="311">
        <v>50</v>
      </c>
      <c r="D47" s="311"/>
      <c r="E47" s="50">
        <v>1</v>
      </c>
      <c r="F47" s="247">
        <f t="shared" si="10"/>
        <v>50</v>
      </c>
      <c r="H47" s="312">
        <v>10</v>
      </c>
      <c r="I47" s="312"/>
      <c r="J47" s="50">
        <v>1</v>
      </c>
      <c r="K47" s="247">
        <f t="shared" si="11"/>
        <v>10</v>
      </c>
      <c r="O47" s="326" t="s">
        <v>47</v>
      </c>
      <c r="P47" s="326"/>
      <c r="Q47" s="326"/>
      <c r="R47" s="326"/>
      <c r="S47" s="327">
        <f>K51</f>
        <v>233</v>
      </c>
      <c r="T47" s="327"/>
      <c r="U47" s="328"/>
      <c r="V47" s="327">
        <f>S47</f>
        <v>233</v>
      </c>
      <c r="W47" s="327"/>
      <c r="X47" s="327"/>
    </row>
    <row r="48" spans="1:46" ht="33" customHeight="1">
      <c r="C48" s="311">
        <v>100</v>
      </c>
      <c r="D48" s="311"/>
      <c r="E48" s="50">
        <v>3</v>
      </c>
      <c r="F48" s="247">
        <f t="shared" si="10"/>
        <v>300</v>
      </c>
      <c r="H48" s="312">
        <v>20</v>
      </c>
      <c r="I48" s="312"/>
      <c r="J48" s="50">
        <v>1</v>
      </c>
      <c r="K48" s="247">
        <f t="shared" si="11"/>
        <v>20</v>
      </c>
      <c r="O48" s="248"/>
      <c r="P48" s="248"/>
      <c r="Q48" s="248"/>
      <c r="R48" s="248"/>
      <c r="S48" s="330"/>
      <c r="T48" s="330"/>
      <c r="U48" s="330"/>
      <c r="V48" s="451">
        <f>SUM(V45:V47)</f>
        <v>628.5</v>
      </c>
      <c r="W48" s="452"/>
      <c r="X48" s="453"/>
    </row>
    <row r="49" spans="3:24" ht="33" customHeight="1">
      <c r="C49" s="311">
        <v>200</v>
      </c>
      <c r="D49" s="311"/>
      <c r="E49" s="50">
        <v>45</v>
      </c>
      <c r="F49" s="247">
        <f t="shared" si="10"/>
        <v>9000</v>
      </c>
      <c r="H49" s="312">
        <v>50</v>
      </c>
      <c r="I49" s="312"/>
      <c r="J49" s="50"/>
      <c r="K49" s="247">
        <f t="shared" si="11"/>
        <v>0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</row>
    <row r="50" spans="3:24" ht="33" customHeight="1">
      <c r="C50" s="311">
        <v>500</v>
      </c>
      <c r="D50" s="311"/>
      <c r="E50" s="50">
        <v>40</v>
      </c>
      <c r="F50" s="247">
        <f t="shared" si="10"/>
        <v>20000</v>
      </c>
      <c r="H50" s="312">
        <v>100</v>
      </c>
      <c r="I50" s="312"/>
      <c r="J50" s="50">
        <v>2</v>
      </c>
      <c r="K50" s="247">
        <f t="shared" si="11"/>
        <v>200</v>
      </c>
    </row>
    <row r="51" spans="3:24" ht="33" customHeight="1">
      <c r="F51" s="250">
        <f>SUM(F45:F50)</f>
        <v>29370</v>
      </c>
      <c r="K51" s="250">
        <f>SUM(K45:K50)</f>
        <v>233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21</v>
      </c>
      <c r="G91" s="230"/>
      <c r="H91" s="238">
        <f>AE7</f>
        <v>4</v>
      </c>
      <c r="I91" s="230"/>
      <c r="J91" s="238">
        <f>F91*D38+H91*F38</f>
        <v>220</v>
      </c>
      <c r="K91" s="230"/>
      <c r="L91" s="21"/>
      <c r="M91" s="238">
        <f>AD23</f>
        <v>3</v>
      </c>
      <c r="N91" s="230"/>
      <c r="O91" s="254">
        <f>AE23</f>
        <v>0</v>
      </c>
      <c r="P91" s="230"/>
      <c r="Q91" s="238">
        <f>M91*H38+O91*F38</f>
        <v>60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18</v>
      </c>
      <c r="G92" s="230"/>
      <c r="H92" s="238">
        <f>AE8</f>
        <v>0</v>
      </c>
      <c r="I92" s="230"/>
      <c r="J92" s="238">
        <f>F92*D39+H92*F39</f>
        <v>216</v>
      </c>
      <c r="K92" s="230"/>
      <c r="L92" s="21"/>
      <c r="M92" s="238">
        <f>AD24</f>
        <v>3</v>
      </c>
      <c r="N92" s="230"/>
      <c r="O92" s="254">
        <f>AE24</f>
        <v>0</v>
      </c>
      <c r="P92" s="230"/>
      <c r="Q92" s="238">
        <f>M92*H39+O92*F39</f>
        <v>72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39</v>
      </c>
      <c r="G96" s="230"/>
      <c r="H96" s="266">
        <f>SUM(H91:H94)</f>
        <v>4</v>
      </c>
      <c r="I96" s="230"/>
      <c r="J96" s="265" t="e">
        <f>SUM(J91:K95)</f>
        <v>#REF!</v>
      </c>
      <c r="K96" s="230"/>
      <c r="L96" s="21"/>
      <c r="M96" s="265">
        <f>SUM(M91:M94)</f>
        <v>6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45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52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52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1">
    <mergeCell ref="F1:J1"/>
    <mergeCell ref="K1:L1"/>
    <mergeCell ref="M1:Q1"/>
    <mergeCell ref="AK1:AN1"/>
    <mergeCell ref="F2:L2"/>
    <mergeCell ref="M2:O2"/>
    <mergeCell ref="P2:Q2"/>
    <mergeCell ref="B4:AC4"/>
    <mergeCell ref="AE6:AH6"/>
    <mergeCell ref="AE22:AH22"/>
    <mergeCell ref="AK29:AN29"/>
    <mergeCell ref="A36:I36"/>
    <mergeCell ref="O36:R36"/>
    <mergeCell ref="S36:V36"/>
    <mergeCell ref="Z36:AE36"/>
    <mergeCell ref="AF36:AG36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AF37:AG37"/>
    <mergeCell ref="Z38:AE38"/>
    <mergeCell ref="AF38:AG38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Z39:AE39"/>
    <mergeCell ref="AF39:AG39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O41:P41"/>
    <mergeCell ref="Q41:R41"/>
    <mergeCell ref="S41:T41"/>
    <mergeCell ref="U41:V41"/>
    <mergeCell ref="Z41:AE41"/>
    <mergeCell ref="AF41:AG41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A5:A6"/>
    <mergeCell ref="A21:A22"/>
    <mergeCell ref="C47:D47"/>
    <mergeCell ref="H47:I47"/>
    <mergeCell ref="B20:AC20"/>
    <mergeCell ref="O47:R47"/>
    <mergeCell ref="S47:U47"/>
    <mergeCell ref="V47:X47"/>
    <mergeCell ref="C48:D48"/>
    <mergeCell ref="H48:I48"/>
    <mergeCell ref="S48:U48"/>
    <mergeCell ref="V48:X48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2:T42"/>
    <mergeCell ref="U42:V42"/>
    <mergeCell ref="Z42:AE42"/>
    <mergeCell ref="AF42:AG42"/>
    <mergeCell ref="AF43:AG43"/>
    <mergeCell ref="C44:F44"/>
    <mergeCell ref="H44:K44"/>
    <mergeCell ref="O44:X44"/>
    <mergeCell ref="Z40:AE40"/>
    <mergeCell ref="AF40:AG40"/>
    <mergeCell ref="A41:C41"/>
    <mergeCell ref="D41:E41"/>
    <mergeCell ref="F41:G41"/>
    <mergeCell ref="H41:I41"/>
    <mergeCell ref="L41:N41"/>
  </mergeCells>
  <pageMargins left="0.25" right="0.25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001"/>
  <sheetViews>
    <sheetView workbookViewId="0">
      <selection activeCell="C39" sqref="C39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5.44140625" bestFit="1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>
        <f>+SABADO!P2</f>
        <v>890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SABADO!F1</f>
        <v>46242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SABADO!AF36</f>
        <v>45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SABADO!AF37*SABADO!P2</f>
        <v>505520</v>
      </c>
      <c r="D9" s="129">
        <f>+C9/D5</f>
        <v>568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+SABADO!AF38*'CIERRE SABADO'!D5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SABADO!AF40*SABADO!P2</f>
        <v>61855</v>
      </c>
      <c r="D11" s="129">
        <f>+C11/D5</f>
        <v>69.5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SABADO!AF39*SABADO!P2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567375</v>
      </c>
      <c r="D15" s="129">
        <f>+C15/D5</f>
        <v>637.5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SABADO!K51</f>
        <v>233</v>
      </c>
      <c r="D19" s="133">
        <f>+C19</f>
        <v>233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SABADO!F51</f>
        <v>29370</v>
      </c>
      <c r="D20" s="133">
        <f>+C20/D5</f>
        <v>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SABADO!S46</f>
        <v>322625</v>
      </c>
      <c r="D21" s="133">
        <f>+C21/D5</f>
        <v>362.5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233</v>
      </c>
      <c r="D23" s="135">
        <f>SUM(D19:D22)</f>
        <v>628.5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29370</v>
      </c>
      <c r="D24" s="65">
        <f>D23-D15</f>
        <v>-9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29370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233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233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29370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30"/>
      <c r="C41" s="431"/>
      <c r="D41" s="43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33"/>
      <c r="C42" s="434"/>
      <c r="D42" s="43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33"/>
      <c r="C43" s="434"/>
      <c r="D43" s="43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36"/>
      <c r="C44" s="437"/>
      <c r="D44" s="43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T1001"/>
  <sheetViews>
    <sheetView topLeftCell="A33" zoomScale="57" zoomScaleNormal="57" workbookViewId="0">
      <selection activeCell="S47" sqref="S47:U47"/>
    </sheetView>
  </sheetViews>
  <sheetFormatPr baseColWidth="10" defaultColWidth="5.6640625" defaultRowHeight="15" customHeight="1"/>
  <cols>
    <col min="1" max="1" width="23.88671875" customWidth="1"/>
    <col min="4" max="4" width="8.44140625" customWidth="1"/>
    <col min="6" max="6" width="11.5546875" customWidth="1"/>
    <col min="9" max="9" width="9.44140625" customWidth="1"/>
    <col min="22" max="22" width="7.33203125" customWidth="1"/>
    <col min="30" max="30" width="10.88671875" customWidth="1"/>
    <col min="31" max="34" width="8" customWidth="1"/>
    <col min="35" max="35" width="12" customWidth="1"/>
    <col min="37" max="37" width="40.33203125" bestFit="1" customWidth="1"/>
    <col min="38" max="38" width="10.5546875" customWidth="1"/>
    <col min="39" max="39" width="11.6640625" customWidth="1"/>
    <col min="40" max="40" width="10.44140625" customWidth="1"/>
    <col min="42" max="42" width="23.109375" bestFit="1" customWidth="1"/>
    <col min="43" max="43" width="8.44140625" bestFit="1" customWidth="1"/>
    <col min="44" max="44" width="6.88671875" bestFit="1" customWidth="1"/>
    <col min="45" max="45" width="9.6640625" bestFit="1" customWidth="1"/>
  </cols>
  <sheetData>
    <row r="1" spans="1:45" ht="33" customHeight="1">
      <c r="C1" s="149" t="s">
        <v>0</v>
      </c>
      <c r="D1" s="111"/>
      <c r="E1" s="20"/>
      <c r="F1" s="465">
        <v>46243</v>
      </c>
      <c r="G1" s="314"/>
      <c r="H1" s="314"/>
      <c r="I1" s="314"/>
      <c r="J1" s="315"/>
      <c r="K1" s="413" t="s">
        <v>1</v>
      </c>
      <c r="L1" s="414"/>
      <c r="M1" s="415" t="s">
        <v>2</v>
      </c>
      <c r="N1" s="314"/>
      <c r="O1" s="314"/>
      <c r="P1" s="314"/>
      <c r="Q1" s="315"/>
      <c r="AK1" s="411" t="s">
        <v>3</v>
      </c>
      <c r="AL1" s="314"/>
      <c r="AM1" s="314"/>
      <c r="AN1" s="315"/>
      <c r="AP1" s="411" t="s">
        <v>3</v>
      </c>
      <c r="AQ1" s="314"/>
      <c r="AR1" s="314"/>
      <c r="AS1" s="315"/>
    </row>
    <row r="2" spans="1:45" ht="33" customHeight="1">
      <c r="C2" s="150" t="s">
        <v>4</v>
      </c>
      <c r="D2" s="111"/>
      <c r="E2" s="20"/>
      <c r="F2" s="483" t="s">
        <v>216</v>
      </c>
      <c r="G2" s="314"/>
      <c r="H2" s="314"/>
      <c r="I2" s="314"/>
      <c r="J2" s="314"/>
      <c r="K2" s="314"/>
      <c r="L2" s="315"/>
      <c r="M2" s="420" t="s">
        <v>5</v>
      </c>
      <c r="N2" s="314"/>
      <c r="O2" s="315"/>
      <c r="P2" s="421">
        <v>890</v>
      </c>
      <c r="Q2" s="422"/>
      <c r="AK2" s="151" t="s">
        <v>6</v>
      </c>
      <c r="AL2" s="151" t="s">
        <v>7</v>
      </c>
      <c r="AM2" s="152" t="s">
        <v>8</v>
      </c>
      <c r="AN2" s="153" t="s">
        <v>9</v>
      </c>
      <c r="AP2" s="293" t="s">
        <v>6</v>
      </c>
      <c r="AQ2" s="293" t="s">
        <v>7</v>
      </c>
      <c r="AR2" s="294" t="s">
        <v>8</v>
      </c>
      <c r="AS2" s="295" t="s">
        <v>9</v>
      </c>
    </row>
    <row r="3" spans="1:45" ht="33" customHeight="1">
      <c r="L3" s="154"/>
      <c r="M3" s="154"/>
      <c r="N3" s="154"/>
      <c r="AK3" s="155" t="s">
        <v>181</v>
      </c>
      <c r="AL3" s="156">
        <v>1</v>
      </c>
      <c r="AM3" s="157"/>
      <c r="AN3" s="158">
        <f>AM3*AL3</f>
        <v>0</v>
      </c>
      <c r="AP3" s="155" t="s">
        <v>208</v>
      </c>
      <c r="AQ3" s="156">
        <v>2</v>
      </c>
      <c r="AR3" s="157"/>
      <c r="AS3" s="158">
        <f>AR3*AQ3</f>
        <v>0</v>
      </c>
    </row>
    <row r="4" spans="1:45" ht="33" customHeight="1">
      <c r="B4" s="393" t="s">
        <v>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  <c r="AA4" s="394"/>
      <c r="AB4" s="394"/>
      <c r="AC4" s="395"/>
      <c r="AD4" s="27"/>
      <c r="AK4" s="155" t="s">
        <v>182</v>
      </c>
      <c r="AL4" s="156">
        <v>2</v>
      </c>
      <c r="AM4" s="157">
        <v>4</v>
      </c>
      <c r="AN4" s="158">
        <f t="shared" ref="AN4:AN26" si="0">AM4*AL4</f>
        <v>8</v>
      </c>
      <c r="AP4" s="155" t="s">
        <v>209</v>
      </c>
      <c r="AQ4" s="156">
        <v>2.5</v>
      </c>
      <c r="AR4" s="157"/>
      <c r="AS4" s="158">
        <f t="shared" ref="AS4:AS26" si="1">AR4*AQ4</f>
        <v>0</v>
      </c>
    </row>
    <row r="5" spans="1:45" ht="33" customHeight="1">
      <c r="A5" s="319" t="s">
        <v>11</v>
      </c>
      <c r="B5" s="159" t="s">
        <v>12</v>
      </c>
      <c r="C5" s="159" t="s">
        <v>12</v>
      </c>
      <c r="D5" s="159" t="s">
        <v>12</v>
      </c>
      <c r="E5" s="159" t="s">
        <v>12</v>
      </c>
      <c r="F5" s="159" t="s">
        <v>12</v>
      </c>
      <c r="G5" s="159" t="s">
        <v>12</v>
      </c>
      <c r="H5" s="159" t="s">
        <v>12</v>
      </c>
      <c r="I5" s="159" t="s">
        <v>12</v>
      </c>
      <c r="J5" s="159" t="s">
        <v>12</v>
      </c>
      <c r="K5" s="159" t="s">
        <v>12</v>
      </c>
      <c r="L5" s="159" t="s">
        <v>12</v>
      </c>
      <c r="M5" s="159" t="s">
        <v>12</v>
      </c>
      <c r="N5" s="160"/>
      <c r="O5" s="161"/>
      <c r="P5" s="160"/>
      <c r="Q5" s="161"/>
      <c r="R5" s="162"/>
      <c r="S5" s="162"/>
      <c r="T5" s="163"/>
      <c r="U5" s="160"/>
      <c r="V5" s="163"/>
      <c r="W5" s="163"/>
      <c r="X5" s="163"/>
      <c r="Y5" s="161"/>
      <c r="Z5" s="161"/>
      <c r="AA5" s="160"/>
      <c r="AB5" s="160"/>
      <c r="AC5" s="161"/>
      <c r="AK5" s="155" t="s">
        <v>191</v>
      </c>
      <c r="AL5" s="156">
        <v>1.5</v>
      </c>
      <c r="AM5" s="157"/>
      <c r="AN5" s="158">
        <f t="shared" si="0"/>
        <v>0</v>
      </c>
      <c r="AP5" s="155" t="s">
        <v>187</v>
      </c>
      <c r="AQ5" s="156">
        <v>1</v>
      </c>
      <c r="AR5" s="157"/>
      <c r="AS5" s="158">
        <f t="shared" si="1"/>
        <v>0</v>
      </c>
    </row>
    <row r="6" spans="1:45" ht="33" customHeight="1">
      <c r="A6" s="320"/>
      <c r="B6" s="164">
        <v>1</v>
      </c>
      <c r="C6" s="164">
        <v>2</v>
      </c>
      <c r="D6" s="164">
        <v>3</v>
      </c>
      <c r="E6" s="164">
        <v>4</v>
      </c>
      <c r="F6" s="164">
        <v>5</v>
      </c>
      <c r="G6" s="164">
        <v>6</v>
      </c>
      <c r="H6" s="164">
        <v>7</v>
      </c>
      <c r="I6" s="164">
        <v>8</v>
      </c>
      <c r="J6" s="164">
        <v>9</v>
      </c>
      <c r="K6" s="164">
        <v>10</v>
      </c>
      <c r="L6" s="164">
        <v>11</v>
      </c>
      <c r="M6" s="164">
        <v>12</v>
      </c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 t="s">
        <v>13</v>
      </c>
      <c r="AE6" s="398" t="s">
        <v>14</v>
      </c>
      <c r="AF6" s="398"/>
      <c r="AG6" s="398"/>
      <c r="AH6" s="398"/>
      <c r="AI6" s="168" t="s">
        <v>15</v>
      </c>
      <c r="AK6" s="155" t="s">
        <v>192</v>
      </c>
      <c r="AL6" s="156">
        <v>2</v>
      </c>
      <c r="AM6" s="157">
        <v>3</v>
      </c>
      <c r="AN6" s="158">
        <f t="shared" si="0"/>
        <v>6</v>
      </c>
      <c r="AP6" s="155" t="s">
        <v>210</v>
      </c>
      <c r="AQ6" s="156">
        <v>1</v>
      </c>
      <c r="AR6" s="157">
        <v>1</v>
      </c>
      <c r="AS6" s="158">
        <f t="shared" si="1"/>
        <v>1</v>
      </c>
    </row>
    <row r="7" spans="1:45" ht="33" customHeight="1">
      <c r="A7" s="169" t="s">
        <v>16</v>
      </c>
      <c r="B7" s="170">
        <v>1</v>
      </c>
      <c r="C7" s="170">
        <v>1</v>
      </c>
      <c r="D7" s="170">
        <v>1</v>
      </c>
      <c r="E7" s="170">
        <v>1</v>
      </c>
      <c r="F7" s="170">
        <v>1</v>
      </c>
      <c r="G7" s="170">
        <v>1</v>
      </c>
      <c r="H7" s="170">
        <v>1</v>
      </c>
      <c r="I7" s="170">
        <v>1</v>
      </c>
      <c r="J7" s="170">
        <v>1</v>
      </c>
      <c r="K7" s="170">
        <v>1</v>
      </c>
      <c r="L7" s="170">
        <v>1</v>
      </c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1"/>
      <c r="AD7" s="172">
        <f>+C18+D18+F18+J18+L18+M18</f>
        <v>15</v>
      </c>
      <c r="AE7" s="173">
        <v>4</v>
      </c>
      <c r="AF7" s="174"/>
      <c r="AG7" s="175"/>
      <c r="AH7" s="175"/>
      <c r="AI7" s="176">
        <f t="shared" ref="AI7:AI10" si="2">SUM(AE7:AH7)</f>
        <v>4</v>
      </c>
      <c r="AK7" s="155" t="s">
        <v>193</v>
      </c>
      <c r="AL7" s="156">
        <v>1</v>
      </c>
      <c r="AM7" s="157"/>
      <c r="AN7" s="158">
        <f t="shared" si="0"/>
        <v>0</v>
      </c>
      <c r="AP7" s="155" t="s">
        <v>211</v>
      </c>
      <c r="AQ7" s="156">
        <v>0.3</v>
      </c>
      <c r="AR7" s="157">
        <v>1</v>
      </c>
      <c r="AS7" s="158">
        <f t="shared" si="1"/>
        <v>0.3</v>
      </c>
    </row>
    <row r="8" spans="1:45" ht="33" customHeight="1">
      <c r="A8" s="177" t="s">
        <v>41</v>
      </c>
      <c r="B8" s="170">
        <v>1</v>
      </c>
      <c r="C8" s="170">
        <v>1</v>
      </c>
      <c r="D8" s="170">
        <v>1</v>
      </c>
      <c r="E8" s="170">
        <v>1</v>
      </c>
      <c r="F8" s="170"/>
      <c r="G8" s="170"/>
      <c r="H8" s="170">
        <v>1</v>
      </c>
      <c r="I8" s="170">
        <v>1</v>
      </c>
      <c r="J8" s="170">
        <v>1</v>
      </c>
      <c r="K8" s="170">
        <v>1</v>
      </c>
      <c r="L8" s="170">
        <v>1</v>
      </c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1"/>
      <c r="AD8" s="172">
        <f>+B18+E18+G18+H18+I18+K18</f>
        <v>17</v>
      </c>
      <c r="AE8" s="172">
        <v>2</v>
      </c>
      <c r="AF8" s="174"/>
      <c r="AG8" s="175"/>
      <c r="AH8" s="175"/>
      <c r="AI8" s="176">
        <f t="shared" si="2"/>
        <v>2</v>
      </c>
      <c r="AK8" s="155" t="s">
        <v>194</v>
      </c>
      <c r="AL8" s="156">
        <v>2</v>
      </c>
      <c r="AM8" s="157"/>
      <c r="AN8" s="158">
        <f t="shared" si="0"/>
        <v>0</v>
      </c>
      <c r="AP8" s="155" t="s">
        <v>212</v>
      </c>
      <c r="AQ8" s="156">
        <v>2</v>
      </c>
      <c r="AR8" s="157"/>
      <c r="AS8" s="158">
        <f t="shared" si="1"/>
        <v>0</v>
      </c>
    </row>
    <row r="9" spans="1:45" ht="33" customHeight="1">
      <c r="A9" s="178"/>
      <c r="B9" s="179">
        <v>1</v>
      </c>
      <c r="C9" s="179">
        <v>1</v>
      </c>
      <c r="D9" s="179">
        <v>1</v>
      </c>
      <c r="E9" s="179">
        <v>1</v>
      </c>
      <c r="F9" s="179"/>
      <c r="G9" s="179"/>
      <c r="H9" s="179">
        <v>1</v>
      </c>
      <c r="I9" s="179">
        <v>1</v>
      </c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80"/>
      <c r="AD9" s="172"/>
      <c r="AE9" s="172"/>
      <c r="AF9" s="174"/>
      <c r="AG9" s="175"/>
      <c r="AH9" s="175"/>
      <c r="AI9" s="176">
        <f t="shared" si="2"/>
        <v>0</v>
      </c>
      <c r="AK9" s="155" t="s">
        <v>195</v>
      </c>
      <c r="AL9" s="156">
        <v>4.5</v>
      </c>
      <c r="AM9" s="157"/>
      <c r="AN9" s="158">
        <f t="shared" si="0"/>
        <v>0</v>
      </c>
      <c r="AP9" s="155" t="s">
        <v>19</v>
      </c>
      <c r="AQ9" s="156">
        <v>1</v>
      </c>
      <c r="AR9" s="157"/>
      <c r="AS9" s="158">
        <f t="shared" si="1"/>
        <v>0</v>
      </c>
    </row>
    <row r="10" spans="1:45" ht="33" customHeight="1">
      <c r="A10" s="181"/>
      <c r="B10" s="182">
        <v>1</v>
      </c>
      <c r="C10" s="182">
        <v>1</v>
      </c>
      <c r="D10" s="182">
        <v>1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72"/>
      <c r="AE10" s="172"/>
      <c r="AF10" s="174"/>
      <c r="AG10" s="175"/>
      <c r="AH10" s="175"/>
      <c r="AI10" s="175">
        <f t="shared" si="2"/>
        <v>0</v>
      </c>
      <c r="AK10" s="155" t="s">
        <v>196</v>
      </c>
      <c r="AL10" s="156">
        <v>1.5</v>
      </c>
      <c r="AM10" s="157"/>
      <c r="AN10" s="158">
        <f t="shared" si="0"/>
        <v>0</v>
      </c>
      <c r="AP10" s="155" t="s">
        <v>213</v>
      </c>
      <c r="AQ10" s="156">
        <v>2</v>
      </c>
      <c r="AR10" s="157">
        <v>1</v>
      </c>
      <c r="AS10" s="158">
        <f t="shared" si="1"/>
        <v>2</v>
      </c>
    </row>
    <row r="11" spans="1:45" ht="33" customHeight="1">
      <c r="A11" s="183"/>
      <c r="B11" s="184">
        <v>1</v>
      </c>
      <c r="C11" s="184">
        <v>1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5">
        <f>SUM(AD7:AD10)</f>
        <v>32</v>
      </c>
      <c r="AE11" s="186"/>
      <c r="AF11" s="186"/>
      <c r="AG11" s="187"/>
      <c r="AH11" s="187"/>
      <c r="AI11" s="187"/>
      <c r="AK11" s="155" t="s">
        <v>17</v>
      </c>
      <c r="AL11" s="156">
        <v>3</v>
      </c>
      <c r="AM11" s="157"/>
      <c r="AN11" s="158">
        <f t="shared" si="0"/>
        <v>0</v>
      </c>
      <c r="AP11" s="155" t="s">
        <v>214</v>
      </c>
      <c r="AQ11" s="156">
        <v>1.5</v>
      </c>
      <c r="AR11" s="157"/>
      <c r="AS11" s="158">
        <f t="shared" si="1"/>
        <v>0</v>
      </c>
    </row>
    <row r="12" spans="1:45" ht="33" customHeight="1">
      <c r="A12" s="188"/>
      <c r="B12" s="189"/>
      <c r="C12" s="190">
        <v>1</v>
      </c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4"/>
      <c r="AE12" s="14"/>
      <c r="AK12" s="155" t="s">
        <v>197</v>
      </c>
      <c r="AL12" s="156">
        <v>2.6</v>
      </c>
      <c r="AM12" s="157"/>
      <c r="AN12" s="158">
        <f t="shared" si="0"/>
        <v>0</v>
      </c>
      <c r="AP12" s="155"/>
      <c r="AQ12" s="156"/>
      <c r="AR12" s="157"/>
      <c r="AS12" s="158">
        <f t="shared" si="1"/>
        <v>0</v>
      </c>
    </row>
    <row r="13" spans="1:45" ht="33" customHeight="1">
      <c r="A13" s="71"/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2"/>
      <c r="AK13" s="155" t="s">
        <v>186</v>
      </c>
      <c r="AL13" s="156">
        <v>1</v>
      </c>
      <c r="AM13" s="157"/>
      <c r="AN13" s="158">
        <f t="shared" si="0"/>
        <v>0</v>
      </c>
      <c r="AP13" s="155"/>
      <c r="AQ13" s="156"/>
      <c r="AR13" s="157"/>
      <c r="AS13" s="158">
        <f t="shared" si="1"/>
        <v>0</v>
      </c>
    </row>
    <row r="14" spans="1:45" ht="33" customHeight="1">
      <c r="A14" s="71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2"/>
      <c r="AK14" s="155" t="s">
        <v>20</v>
      </c>
      <c r="AL14" s="156">
        <v>2</v>
      </c>
      <c r="AM14" s="157"/>
      <c r="AN14" s="158">
        <f t="shared" si="0"/>
        <v>0</v>
      </c>
      <c r="AP14" s="155"/>
      <c r="AQ14" s="156"/>
      <c r="AR14" s="157"/>
      <c r="AS14" s="158">
        <f t="shared" si="1"/>
        <v>0</v>
      </c>
    </row>
    <row r="15" spans="1:45" ht="33" customHeight="1"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27"/>
      <c r="AK15" s="155" t="s">
        <v>198</v>
      </c>
      <c r="AL15" s="156">
        <v>2</v>
      </c>
      <c r="AM15" s="157"/>
      <c r="AN15" s="158">
        <f t="shared" si="0"/>
        <v>0</v>
      </c>
      <c r="AP15" s="155"/>
      <c r="AQ15" s="156"/>
      <c r="AR15" s="157"/>
      <c r="AS15" s="158">
        <f t="shared" si="1"/>
        <v>0</v>
      </c>
    </row>
    <row r="16" spans="1:45" ht="33" customHeight="1"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K16" s="192" t="s">
        <v>199</v>
      </c>
      <c r="AL16" s="297">
        <v>1.5</v>
      </c>
      <c r="AM16" s="193"/>
      <c r="AN16" s="158">
        <f t="shared" si="0"/>
        <v>0</v>
      </c>
      <c r="AP16" s="192"/>
      <c r="AQ16" s="297"/>
      <c r="AR16" s="298"/>
      <c r="AS16" s="299">
        <f t="shared" si="1"/>
        <v>0</v>
      </c>
    </row>
    <row r="17" spans="1:46" ht="33" customHeight="1"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K17" s="195" t="s">
        <v>200</v>
      </c>
      <c r="AL17" s="300">
        <v>6</v>
      </c>
      <c r="AM17" s="196">
        <v>1</v>
      </c>
      <c r="AN17" s="158">
        <f t="shared" si="0"/>
        <v>6</v>
      </c>
      <c r="AP17" s="195"/>
      <c r="AQ17" s="300"/>
      <c r="AR17" s="301"/>
      <c r="AS17" s="299">
        <f t="shared" si="1"/>
        <v>0</v>
      </c>
    </row>
    <row r="18" spans="1:46" ht="33" customHeight="1">
      <c r="B18" s="197">
        <f t="shared" ref="B18:AC18" si="3">SUM(B7:B15)</f>
        <v>5</v>
      </c>
      <c r="C18" s="197">
        <f t="shared" si="3"/>
        <v>6</v>
      </c>
      <c r="D18" s="197">
        <f t="shared" si="3"/>
        <v>4</v>
      </c>
      <c r="E18" s="197">
        <f t="shared" si="3"/>
        <v>3</v>
      </c>
      <c r="F18" s="197">
        <f t="shared" si="3"/>
        <v>1</v>
      </c>
      <c r="G18" s="197">
        <f t="shared" si="3"/>
        <v>1</v>
      </c>
      <c r="H18" s="197">
        <f t="shared" si="3"/>
        <v>3</v>
      </c>
      <c r="I18" s="197">
        <f t="shared" si="3"/>
        <v>3</v>
      </c>
      <c r="J18" s="197">
        <f t="shared" si="3"/>
        <v>2</v>
      </c>
      <c r="K18" s="197">
        <f t="shared" si="3"/>
        <v>2</v>
      </c>
      <c r="L18" s="197">
        <f t="shared" si="3"/>
        <v>2</v>
      </c>
      <c r="M18" s="197">
        <f t="shared" si="3"/>
        <v>0</v>
      </c>
      <c r="N18" s="197">
        <f t="shared" si="3"/>
        <v>0</v>
      </c>
      <c r="O18" s="197">
        <f t="shared" si="3"/>
        <v>0</v>
      </c>
      <c r="P18" s="197">
        <f t="shared" si="3"/>
        <v>0</v>
      </c>
      <c r="Q18" s="197">
        <f t="shared" si="3"/>
        <v>0</v>
      </c>
      <c r="R18" s="197">
        <f t="shared" si="3"/>
        <v>0</v>
      </c>
      <c r="S18" s="197">
        <f t="shared" si="3"/>
        <v>0</v>
      </c>
      <c r="T18" s="197">
        <f t="shared" si="3"/>
        <v>0</v>
      </c>
      <c r="U18" s="197">
        <f t="shared" si="3"/>
        <v>0</v>
      </c>
      <c r="V18" s="197">
        <f t="shared" si="3"/>
        <v>0</v>
      </c>
      <c r="W18" s="197">
        <f t="shared" si="3"/>
        <v>0</v>
      </c>
      <c r="X18" s="197">
        <f t="shared" si="3"/>
        <v>0</v>
      </c>
      <c r="Y18" s="197">
        <f t="shared" si="3"/>
        <v>0</v>
      </c>
      <c r="Z18" s="197">
        <f t="shared" si="3"/>
        <v>0</v>
      </c>
      <c r="AA18" s="197">
        <f t="shared" si="3"/>
        <v>0</v>
      </c>
      <c r="AB18" s="197">
        <f t="shared" si="3"/>
        <v>0</v>
      </c>
      <c r="AC18" s="197">
        <f t="shared" si="3"/>
        <v>0</v>
      </c>
      <c r="AG18" s="2"/>
      <c r="AK18" s="195" t="s">
        <v>201</v>
      </c>
      <c r="AL18" s="156">
        <v>2</v>
      </c>
      <c r="AM18" s="198">
        <v>1</v>
      </c>
      <c r="AN18" s="158">
        <f t="shared" si="0"/>
        <v>2</v>
      </c>
      <c r="AP18" s="195"/>
      <c r="AQ18" s="156"/>
      <c r="AR18" s="302"/>
      <c r="AS18" s="299">
        <f t="shared" si="1"/>
        <v>0</v>
      </c>
    </row>
    <row r="19" spans="1:46" ht="33" customHeight="1">
      <c r="AG19" s="27"/>
      <c r="AK19" s="195" t="s">
        <v>202</v>
      </c>
      <c r="AL19" s="156">
        <v>4</v>
      </c>
      <c r="AM19" s="199"/>
      <c r="AN19" s="158">
        <f t="shared" si="0"/>
        <v>0</v>
      </c>
      <c r="AP19" s="195"/>
      <c r="AQ19" s="156"/>
      <c r="AR19" s="302"/>
      <c r="AS19" s="299">
        <f t="shared" si="1"/>
        <v>0</v>
      </c>
    </row>
    <row r="20" spans="1:46" ht="33" customHeight="1">
      <c r="B20" s="393" t="s">
        <v>184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  <c r="AA20" s="394"/>
      <c r="AB20" s="394"/>
      <c r="AC20" s="395"/>
      <c r="AD20" s="27"/>
      <c r="AK20" s="195" t="s">
        <v>203</v>
      </c>
      <c r="AL20" s="156">
        <v>2</v>
      </c>
      <c r="AM20" s="199"/>
      <c r="AN20" s="158">
        <f t="shared" si="0"/>
        <v>0</v>
      </c>
      <c r="AP20" s="195"/>
      <c r="AQ20" s="156"/>
      <c r="AR20" s="302"/>
      <c r="AS20" s="299">
        <f t="shared" si="1"/>
        <v>0</v>
      </c>
    </row>
    <row r="21" spans="1:46" ht="33" customHeight="1">
      <c r="A21" s="319" t="s">
        <v>11</v>
      </c>
      <c r="B21" s="159" t="s">
        <v>12</v>
      </c>
      <c r="C21" s="159" t="s">
        <v>12</v>
      </c>
      <c r="D21" s="159" t="s">
        <v>12</v>
      </c>
      <c r="E21" s="159" t="s">
        <v>12</v>
      </c>
      <c r="F21" s="159" t="s">
        <v>12</v>
      </c>
      <c r="G21" s="159" t="s">
        <v>12</v>
      </c>
      <c r="H21" s="159" t="s">
        <v>12</v>
      </c>
      <c r="I21" s="159" t="s">
        <v>12</v>
      </c>
      <c r="J21" s="159" t="s">
        <v>12</v>
      </c>
      <c r="K21" s="159" t="s">
        <v>12</v>
      </c>
      <c r="L21" s="159" t="s">
        <v>12</v>
      </c>
      <c r="M21" s="159" t="s">
        <v>12</v>
      </c>
      <c r="N21" s="160"/>
      <c r="O21" s="161"/>
      <c r="P21" s="160"/>
      <c r="Q21" s="161"/>
      <c r="R21" s="162"/>
      <c r="S21" s="162"/>
      <c r="T21" s="163"/>
      <c r="U21" s="160"/>
      <c r="V21" s="163"/>
      <c r="W21" s="163"/>
      <c r="X21" s="163"/>
      <c r="Y21" s="161"/>
      <c r="Z21" s="161"/>
      <c r="AA21" s="160"/>
      <c r="AB21" s="160"/>
      <c r="AC21" s="161"/>
      <c r="AK21" s="195" t="s">
        <v>204</v>
      </c>
      <c r="AL21" s="156">
        <v>3</v>
      </c>
      <c r="AM21" s="199"/>
      <c r="AN21" s="158">
        <f t="shared" si="0"/>
        <v>0</v>
      </c>
      <c r="AP21" s="195"/>
      <c r="AQ21" s="156"/>
      <c r="AR21" s="302"/>
      <c r="AS21" s="299">
        <f t="shared" si="1"/>
        <v>0</v>
      </c>
    </row>
    <row r="22" spans="1:46" ht="33" customHeight="1">
      <c r="A22" s="320"/>
      <c r="B22" s="164">
        <v>1</v>
      </c>
      <c r="C22" s="164">
        <v>2</v>
      </c>
      <c r="D22" s="164">
        <v>3</v>
      </c>
      <c r="E22" s="164">
        <v>4</v>
      </c>
      <c r="F22" s="164">
        <v>5</v>
      </c>
      <c r="G22" s="164">
        <v>6</v>
      </c>
      <c r="H22" s="164">
        <v>7</v>
      </c>
      <c r="I22" s="164">
        <v>8</v>
      </c>
      <c r="J22" s="164">
        <v>9</v>
      </c>
      <c r="K22" s="164">
        <v>10</v>
      </c>
      <c r="L22" s="164">
        <v>11</v>
      </c>
      <c r="M22" s="164">
        <v>12</v>
      </c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/>
      <c r="AD22" s="167" t="s">
        <v>13</v>
      </c>
      <c r="AE22" s="398" t="s">
        <v>14</v>
      </c>
      <c r="AF22" s="398"/>
      <c r="AG22" s="398"/>
      <c r="AH22" s="398"/>
      <c r="AI22" s="200" t="s">
        <v>15</v>
      </c>
      <c r="AK22" s="195" t="s">
        <v>205</v>
      </c>
      <c r="AL22" s="156">
        <v>1</v>
      </c>
      <c r="AM22" s="199"/>
      <c r="AN22" s="158">
        <f t="shared" si="0"/>
        <v>0</v>
      </c>
      <c r="AP22" s="195"/>
      <c r="AQ22" s="156"/>
      <c r="AR22" s="302"/>
      <c r="AS22" s="299">
        <f t="shared" si="1"/>
        <v>0</v>
      </c>
      <c r="AT22" s="2"/>
    </row>
    <row r="23" spans="1:46" ht="33" customHeight="1">
      <c r="A23" s="169" t="s">
        <v>16</v>
      </c>
      <c r="B23" s="170"/>
      <c r="C23" s="170"/>
      <c r="D23" s="201"/>
      <c r="E23" s="201">
        <v>1</v>
      </c>
      <c r="F23" s="201">
        <v>1</v>
      </c>
      <c r="G23" s="201">
        <v>1</v>
      </c>
      <c r="H23" s="201"/>
      <c r="I23" s="201"/>
      <c r="J23" s="201">
        <v>1</v>
      </c>
      <c r="K23" s="201">
        <v>1</v>
      </c>
      <c r="L23" s="201">
        <v>1</v>
      </c>
      <c r="M23" s="201">
        <v>1</v>
      </c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/>
      <c r="AD23" s="203">
        <f>+C34+D34+F34+J34+L34+M34</f>
        <v>4</v>
      </c>
      <c r="AE23" s="204"/>
      <c r="AF23" s="205"/>
      <c r="AG23" s="206"/>
      <c r="AH23" s="206"/>
      <c r="AI23" s="207">
        <f>SUM(AE23:AH23)</f>
        <v>0</v>
      </c>
      <c r="AK23" s="195" t="s">
        <v>206</v>
      </c>
      <c r="AL23" s="156">
        <v>2</v>
      </c>
      <c r="AM23" s="199"/>
      <c r="AN23" s="158">
        <f t="shared" si="0"/>
        <v>0</v>
      </c>
      <c r="AP23" s="195"/>
      <c r="AQ23" s="156"/>
      <c r="AR23" s="302"/>
      <c r="AS23" s="299">
        <f t="shared" si="1"/>
        <v>0</v>
      </c>
      <c r="AT23" s="2"/>
    </row>
    <row r="24" spans="1:46" ht="33" customHeight="1">
      <c r="A24" s="177" t="s">
        <v>125</v>
      </c>
      <c r="B24" s="170"/>
      <c r="C24" s="170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2"/>
      <c r="AD24" s="203">
        <f>+B34+E34+G34+H34+I34+K34</f>
        <v>3</v>
      </c>
      <c r="AE24" s="194"/>
      <c r="AF24" s="205"/>
      <c r="AG24" s="206"/>
      <c r="AH24" s="206"/>
      <c r="AI24" s="207">
        <f t="shared" ref="AI24:AI26" si="4">SUM(AE24:AH24)</f>
        <v>0</v>
      </c>
      <c r="AK24" s="195" t="s">
        <v>207</v>
      </c>
      <c r="AL24" s="156">
        <v>2</v>
      </c>
      <c r="AM24" s="199"/>
      <c r="AN24" s="158">
        <f t="shared" si="0"/>
        <v>0</v>
      </c>
      <c r="AP24" s="195"/>
      <c r="AQ24" s="156"/>
      <c r="AR24" s="302"/>
      <c r="AS24" s="299">
        <f t="shared" si="1"/>
        <v>0</v>
      </c>
      <c r="AT24" s="2"/>
    </row>
    <row r="25" spans="1:46" s="147" customFormat="1" ht="33" customHeight="1">
      <c r="A25" s="178"/>
      <c r="B25" s="208"/>
      <c r="C25" s="208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10"/>
      <c r="AD25" s="203"/>
      <c r="AE25" s="194"/>
      <c r="AF25" s="205"/>
      <c r="AG25" s="206"/>
      <c r="AH25" s="206"/>
      <c r="AI25" s="207">
        <f t="shared" si="4"/>
        <v>0</v>
      </c>
      <c r="AJ25"/>
      <c r="AK25" s="303" t="s">
        <v>189</v>
      </c>
      <c r="AL25" s="156">
        <v>2</v>
      </c>
      <c r="AM25" s="199">
        <v>1</v>
      </c>
      <c r="AN25" s="158">
        <f t="shared" si="0"/>
        <v>2</v>
      </c>
      <c r="AP25" s="303"/>
      <c r="AQ25" s="156"/>
      <c r="AR25" s="302"/>
      <c r="AS25" s="299">
        <f t="shared" si="1"/>
        <v>0</v>
      </c>
      <c r="AT25" s="211"/>
    </row>
    <row r="26" spans="1:46" s="147" customFormat="1" ht="33" customHeight="1">
      <c r="A26" s="181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203"/>
      <c r="AE26" s="194"/>
      <c r="AF26" s="205"/>
      <c r="AG26" s="206"/>
      <c r="AH26" s="206"/>
      <c r="AI26" s="212">
        <f t="shared" si="4"/>
        <v>0</v>
      </c>
      <c r="AJ26"/>
      <c r="AK26" s="303" t="s">
        <v>188</v>
      </c>
      <c r="AL26" s="156">
        <v>1</v>
      </c>
      <c r="AM26" s="199"/>
      <c r="AN26" s="158">
        <f t="shared" si="0"/>
        <v>0</v>
      </c>
      <c r="AP26" s="303"/>
      <c r="AQ26" s="156"/>
      <c r="AR26" s="302"/>
      <c r="AS26" s="299">
        <f t="shared" si="1"/>
        <v>0</v>
      </c>
      <c r="AT26" s="211"/>
    </row>
    <row r="27" spans="1:46" s="147" customFormat="1" ht="33" customHeight="1">
      <c r="A27" s="18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4">
        <f>SUM(AD23:AD26)</f>
        <v>7</v>
      </c>
      <c r="AE27" s="215"/>
      <c r="AF27" s="215"/>
      <c r="AG27" s="216"/>
      <c r="AH27" s="216"/>
      <c r="AI27" s="216"/>
      <c r="AJ27"/>
      <c r="AN27" s="217">
        <f>SUM(AN3:AN26)</f>
        <v>24</v>
      </c>
      <c r="AS27" s="217">
        <f>SUM(AS3:AS26)</f>
        <v>3.3</v>
      </c>
      <c r="AT27" s="211"/>
    </row>
    <row r="28" spans="1:46" s="147" customFormat="1" ht="33" customHeight="1">
      <c r="A28" s="188"/>
      <c r="B28" s="191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4"/>
      <c r="AE28" s="14"/>
      <c r="AF28"/>
      <c r="AG28"/>
      <c r="AH28"/>
      <c r="AI28"/>
      <c r="AJ28"/>
      <c r="AT28" s="211"/>
    </row>
    <row r="29" spans="1:46" s="147" customFormat="1" ht="33" customHeight="1">
      <c r="A29" s="71"/>
      <c r="B29" s="191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2"/>
      <c r="AE29"/>
      <c r="AF29"/>
      <c r="AG29"/>
      <c r="AH29"/>
      <c r="AI29"/>
      <c r="AJ29"/>
      <c r="AK29" s="399" t="s">
        <v>21</v>
      </c>
      <c r="AL29" s="400"/>
      <c r="AM29" s="400"/>
      <c r="AN29" s="401"/>
      <c r="AT29" s="211"/>
    </row>
    <row r="30" spans="1:46" s="147" customFormat="1" ht="33" customHeight="1">
      <c r="A30" s="71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2"/>
      <c r="AE30"/>
      <c r="AF30"/>
      <c r="AG30"/>
      <c r="AH30"/>
      <c r="AI30"/>
      <c r="AJ30"/>
      <c r="AK30" s="218" t="s">
        <v>22</v>
      </c>
      <c r="AL30" s="219">
        <v>5</v>
      </c>
      <c r="AM30" s="175"/>
      <c r="AN30" s="220">
        <f>AM30*AL30</f>
        <v>0</v>
      </c>
      <c r="AT30" s="211"/>
    </row>
    <row r="31" spans="1:46" s="147" customFormat="1" ht="33" customHeight="1">
      <c r="A31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27"/>
      <c r="AE31"/>
      <c r="AF31"/>
      <c r="AG31"/>
      <c r="AH31"/>
      <c r="AI31"/>
      <c r="AK31" s="218" t="s">
        <v>23</v>
      </c>
      <c r="AL31" s="219">
        <v>5</v>
      </c>
      <c r="AM31" s="175"/>
      <c r="AN31" s="220">
        <f t="shared" ref="AN31:AN36" si="5">AM31*AL31</f>
        <v>0</v>
      </c>
      <c r="AT31" s="211"/>
    </row>
    <row r="32" spans="1:46" s="147" customFormat="1" ht="33" customHeight="1">
      <c r="A32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/>
      <c r="AE32"/>
      <c r="AF32"/>
      <c r="AG32"/>
      <c r="AH32"/>
      <c r="AI32"/>
      <c r="AK32" s="221" t="s">
        <v>24</v>
      </c>
      <c r="AL32" s="222">
        <v>1</v>
      </c>
      <c r="AM32" s="172"/>
      <c r="AN32" s="220">
        <f t="shared" si="5"/>
        <v>0</v>
      </c>
      <c r="AO32" s="211"/>
      <c r="AP32" s="211"/>
      <c r="AQ32" s="211"/>
      <c r="AR32" s="211"/>
      <c r="AS32" s="211"/>
      <c r="AT32" s="211"/>
    </row>
    <row r="33" spans="1:46" ht="33" customHeight="1"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J33" s="147"/>
      <c r="AK33" s="221" t="s">
        <v>25</v>
      </c>
      <c r="AL33" s="222">
        <v>5</v>
      </c>
      <c r="AM33" s="172"/>
      <c r="AN33" s="220">
        <f t="shared" si="5"/>
        <v>0</v>
      </c>
      <c r="AO33" s="2"/>
      <c r="AP33" s="2"/>
      <c r="AQ33" s="2"/>
      <c r="AR33" s="2"/>
      <c r="AS33" s="2"/>
      <c r="AT33" s="2"/>
    </row>
    <row r="34" spans="1:46" s="148" customFormat="1" ht="33" customHeight="1">
      <c r="A34"/>
      <c r="B34" s="197">
        <f t="shared" ref="B34:AC34" si="6">SUM(B23:B31)</f>
        <v>0</v>
      </c>
      <c r="C34" s="197">
        <f t="shared" si="6"/>
        <v>0</v>
      </c>
      <c r="D34" s="197">
        <f t="shared" si="6"/>
        <v>0</v>
      </c>
      <c r="E34" s="197">
        <f t="shared" si="6"/>
        <v>1</v>
      </c>
      <c r="F34" s="197">
        <f t="shared" si="6"/>
        <v>1</v>
      </c>
      <c r="G34" s="197">
        <f t="shared" si="6"/>
        <v>1</v>
      </c>
      <c r="H34" s="197">
        <f t="shared" si="6"/>
        <v>0</v>
      </c>
      <c r="I34" s="197">
        <f t="shared" si="6"/>
        <v>0</v>
      </c>
      <c r="J34" s="197">
        <f t="shared" si="6"/>
        <v>1</v>
      </c>
      <c r="K34" s="197">
        <f t="shared" si="6"/>
        <v>1</v>
      </c>
      <c r="L34" s="197">
        <f t="shared" si="6"/>
        <v>1</v>
      </c>
      <c r="M34" s="197">
        <f t="shared" si="6"/>
        <v>1</v>
      </c>
      <c r="N34" s="197">
        <f t="shared" si="6"/>
        <v>0</v>
      </c>
      <c r="O34" s="197">
        <f t="shared" si="6"/>
        <v>0</v>
      </c>
      <c r="P34" s="197">
        <f t="shared" si="6"/>
        <v>0</v>
      </c>
      <c r="Q34" s="197">
        <f t="shared" si="6"/>
        <v>0</v>
      </c>
      <c r="R34" s="197">
        <f t="shared" si="6"/>
        <v>0</v>
      </c>
      <c r="S34" s="197">
        <f t="shared" si="6"/>
        <v>0</v>
      </c>
      <c r="T34" s="197">
        <f t="shared" si="6"/>
        <v>0</v>
      </c>
      <c r="U34" s="197">
        <f t="shared" si="6"/>
        <v>0</v>
      </c>
      <c r="V34" s="197">
        <f t="shared" si="6"/>
        <v>0</v>
      </c>
      <c r="W34" s="197">
        <f t="shared" si="6"/>
        <v>0</v>
      </c>
      <c r="X34" s="197">
        <f t="shared" si="6"/>
        <v>0</v>
      </c>
      <c r="Y34" s="197">
        <f t="shared" si="6"/>
        <v>0</v>
      </c>
      <c r="Z34" s="197">
        <f t="shared" si="6"/>
        <v>0</v>
      </c>
      <c r="AA34" s="197">
        <f t="shared" si="6"/>
        <v>0</v>
      </c>
      <c r="AB34" s="197">
        <f t="shared" si="6"/>
        <v>0</v>
      </c>
      <c r="AC34" s="197">
        <f t="shared" si="6"/>
        <v>0</v>
      </c>
      <c r="AD34"/>
      <c r="AE34"/>
      <c r="AF34"/>
      <c r="AG34" s="2"/>
      <c r="AH34"/>
      <c r="AI34"/>
      <c r="AJ34" s="147"/>
      <c r="AK34" s="221" t="s">
        <v>26</v>
      </c>
      <c r="AL34" s="222">
        <v>5</v>
      </c>
      <c r="AM34" s="172"/>
      <c r="AN34" s="220">
        <f t="shared" si="5"/>
        <v>0</v>
      </c>
      <c r="AO34" s="21"/>
      <c r="AP34" s="21"/>
      <c r="AQ34" s="21"/>
      <c r="AR34" s="21"/>
      <c r="AS34" s="21"/>
      <c r="AT34" s="21"/>
    </row>
    <row r="35" spans="1:46" s="148" customFormat="1" ht="33" customHeight="1">
      <c r="AI35" s="147"/>
      <c r="AJ35" s="147"/>
      <c r="AK35" s="221" t="s">
        <v>27</v>
      </c>
      <c r="AL35" s="222">
        <v>5</v>
      </c>
      <c r="AM35" s="172"/>
      <c r="AN35" s="220">
        <f t="shared" si="5"/>
        <v>0</v>
      </c>
      <c r="AO35" s="21"/>
      <c r="AP35" s="21"/>
      <c r="AQ35" s="21"/>
      <c r="AR35" s="21"/>
      <c r="AS35" s="21"/>
      <c r="AT35" s="21"/>
    </row>
    <row r="36" spans="1:46" s="148" customFormat="1" ht="33" customHeight="1">
      <c r="A36" s="457" t="s">
        <v>28</v>
      </c>
      <c r="B36" s="458"/>
      <c r="C36" s="458"/>
      <c r="D36" s="458"/>
      <c r="E36" s="458"/>
      <c r="F36" s="458"/>
      <c r="G36" s="458"/>
      <c r="H36" s="458"/>
      <c r="I36" s="459"/>
      <c r="O36" s="460" t="s">
        <v>29</v>
      </c>
      <c r="P36" s="461"/>
      <c r="Q36" s="461"/>
      <c r="R36" s="462"/>
      <c r="S36" s="460" t="s">
        <v>185</v>
      </c>
      <c r="T36" s="461"/>
      <c r="U36" s="463"/>
      <c r="V36" s="464"/>
      <c r="W36" s="223"/>
      <c r="X36" s="223"/>
      <c r="Y36" s="223"/>
      <c r="Z36" s="374" t="s">
        <v>31</v>
      </c>
      <c r="AA36" s="375"/>
      <c r="AB36" s="375"/>
      <c r="AC36" s="375"/>
      <c r="AD36" s="375"/>
      <c r="AE36" s="376"/>
      <c r="AF36" s="410">
        <f>O42+S42</f>
        <v>39</v>
      </c>
      <c r="AG36" s="315"/>
      <c r="AI36" s="147"/>
      <c r="AJ36" s="147"/>
      <c r="AK36" s="221" t="s">
        <v>32</v>
      </c>
      <c r="AL36" s="222">
        <v>5</v>
      </c>
      <c r="AM36" s="172"/>
      <c r="AN36" s="220">
        <f t="shared" si="5"/>
        <v>0</v>
      </c>
      <c r="AO36" s="21"/>
      <c r="AP36" s="21"/>
      <c r="AQ36" s="21"/>
      <c r="AR36" s="21"/>
      <c r="AS36" s="21"/>
      <c r="AT36" s="21"/>
    </row>
    <row r="37" spans="1:46" s="148" customFormat="1" ht="33" customHeight="1">
      <c r="A37" s="225" t="s">
        <v>33</v>
      </c>
      <c r="B37" s="226"/>
      <c r="C37" s="227"/>
      <c r="D37" s="385" t="s">
        <v>34</v>
      </c>
      <c r="E37" s="386"/>
      <c r="F37" s="385" t="s">
        <v>35</v>
      </c>
      <c r="G37" s="386"/>
      <c r="H37" s="387" t="s">
        <v>30</v>
      </c>
      <c r="I37" s="388"/>
      <c r="L37" s="389" t="s">
        <v>33</v>
      </c>
      <c r="M37" s="373"/>
      <c r="N37" s="348"/>
      <c r="O37" s="390" t="s">
        <v>36</v>
      </c>
      <c r="P37" s="391"/>
      <c r="Q37" s="392" t="s">
        <v>37</v>
      </c>
      <c r="R37" s="356"/>
      <c r="S37" s="390" t="s">
        <v>36</v>
      </c>
      <c r="T37" s="391"/>
      <c r="U37" s="396" t="s">
        <v>38</v>
      </c>
      <c r="V37" s="397"/>
      <c r="W37" s="223"/>
      <c r="X37" s="21"/>
      <c r="Y37" s="223"/>
      <c r="Z37" s="374" t="s">
        <v>39</v>
      </c>
      <c r="AA37" s="375"/>
      <c r="AB37" s="375"/>
      <c r="AC37" s="375"/>
      <c r="AD37" s="375"/>
      <c r="AE37" s="376"/>
      <c r="AF37" s="377">
        <f>U42</f>
        <v>522</v>
      </c>
      <c r="AG37" s="315"/>
      <c r="AI37" s="235"/>
      <c r="AJ37" s="147"/>
      <c r="AK37" s="14"/>
      <c r="AL37" s="14"/>
      <c r="AM37" s="14"/>
      <c r="AN37" s="236">
        <f>SUM(AN30:AN36)</f>
        <v>0</v>
      </c>
      <c r="AO37" s="21"/>
      <c r="AP37" s="21"/>
      <c r="AQ37" s="21"/>
      <c r="AR37" s="21"/>
      <c r="AS37" s="21"/>
      <c r="AT37" s="21"/>
    </row>
    <row r="38" spans="1:46" s="148" customFormat="1" ht="33" customHeight="1">
      <c r="A38" s="378" t="s">
        <v>16</v>
      </c>
      <c r="B38" s="379"/>
      <c r="C38" s="380"/>
      <c r="D38" s="370">
        <v>10</v>
      </c>
      <c r="E38" s="371"/>
      <c r="F38" s="370">
        <v>2.5</v>
      </c>
      <c r="G38" s="371"/>
      <c r="H38" s="370">
        <v>20</v>
      </c>
      <c r="I38" s="371"/>
      <c r="L38" s="381" t="s">
        <v>16</v>
      </c>
      <c r="M38" s="373"/>
      <c r="N38" s="348"/>
      <c r="O38" s="347">
        <f>AD7</f>
        <v>15</v>
      </c>
      <c r="P38" s="348"/>
      <c r="Q38" s="347">
        <f>AI7</f>
        <v>4</v>
      </c>
      <c r="R38" s="348"/>
      <c r="S38" s="347">
        <f>AD23</f>
        <v>4</v>
      </c>
      <c r="T38" s="348"/>
      <c r="U38" s="355">
        <f>S38*H38+O38*D38+Q38*F38</f>
        <v>240</v>
      </c>
      <c r="V38" s="356"/>
      <c r="W38" s="223"/>
      <c r="X38" s="21"/>
      <c r="Y38" s="223"/>
      <c r="Z38" s="357" t="s">
        <v>40</v>
      </c>
      <c r="AA38" s="358"/>
      <c r="AB38" s="358"/>
      <c r="AC38" s="358"/>
      <c r="AD38" s="358"/>
      <c r="AE38" s="359"/>
      <c r="AF38" s="360">
        <f>AN39</f>
        <v>0</v>
      </c>
      <c r="AG38" s="315"/>
      <c r="AI38" s="235"/>
      <c r="AJ38" s="147"/>
      <c r="AO38" s="21"/>
      <c r="AP38" s="21"/>
      <c r="AQ38" s="21"/>
      <c r="AR38" s="21"/>
      <c r="AS38" s="21"/>
      <c r="AT38" s="21"/>
    </row>
    <row r="39" spans="1:46" s="148" customFormat="1" ht="33" customHeight="1">
      <c r="A39" s="367" t="s">
        <v>41</v>
      </c>
      <c r="B39" s="368"/>
      <c r="C39" s="369"/>
      <c r="D39" s="370">
        <v>12</v>
      </c>
      <c r="E39" s="371"/>
      <c r="F39" s="370">
        <v>3</v>
      </c>
      <c r="G39" s="371"/>
      <c r="H39" s="370">
        <v>24</v>
      </c>
      <c r="I39" s="371"/>
      <c r="L39" s="372" t="s">
        <v>42</v>
      </c>
      <c r="M39" s="373"/>
      <c r="N39" s="348"/>
      <c r="O39" s="347">
        <f>AD8</f>
        <v>17</v>
      </c>
      <c r="P39" s="348"/>
      <c r="Q39" s="347">
        <f>AI8</f>
        <v>2</v>
      </c>
      <c r="R39" s="348"/>
      <c r="S39" s="347">
        <f>AD24</f>
        <v>3</v>
      </c>
      <c r="T39" s="348"/>
      <c r="U39" s="355">
        <f t="shared" ref="U39:U41" si="7">S39*H39+O39*D39+Q39*F39</f>
        <v>282</v>
      </c>
      <c r="V39" s="356"/>
      <c r="W39" s="223"/>
      <c r="X39" s="21"/>
      <c r="Y39" s="223"/>
      <c r="Z39" s="357" t="s">
        <v>43</v>
      </c>
      <c r="AA39" s="358"/>
      <c r="AB39" s="358"/>
      <c r="AC39" s="358"/>
      <c r="AD39" s="358"/>
      <c r="AE39" s="359"/>
      <c r="AF39" s="360">
        <f>AN37</f>
        <v>0</v>
      </c>
      <c r="AG39" s="315"/>
      <c r="AI39" s="27"/>
      <c r="AJ39"/>
      <c r="AK39" s="242" t="s">
        <v>44</v>
      </c>
      <c r="AL39" s="243">
        <v>5</v>
      </c>
      <c r="AM39" s="174"/>
      <c r="AN39" s="220">
        <f>AM39*AL39</f>
        <v>0</v>
      </c>
      <c r="AO39" s="21"/>
      <c r="AP39" s="21"/>
      <c r="AQ39" s="21"/>
      <c r="AR39" s="21"/>
      <c r="AS39" s="21"/>
      <c r="AT39" s="21"/>
    </row>
    <row r="40" spans="1:46" s="148" customFormat="1" ht="33" customHeight="1">
      <c r="A40" s="361"/>
      <c r="B40" s="362"/>
      <c r="C40" s="363"/>
      <c r="D40" s="481"/>
      <c r="E40" s="482"/>
      <c r="F40" s="481"/>
      <c r="G40" s="482"/>
      <c r="H40" s="481"/>
      <c r="I40" s="482"/>
      <c r="L40" s="389" t="s">
        <v>18</v>
      </c>
      <c r="M40" s="373"/>
      <c r="N40" s="373"/>
      <c r="O40" s="347">
        <f>AD9</f>
        <v>0</v>
      </c>
      <c r="P40" s="348"/>
      <c r="Q40" s="347">
        <f>AI9</f>
        <v>0</v>
      </c>
      <c r="R40" s="348"/>
      <c r="S40" s="347">
        <f>AD25</f>
        <v>0</v>
      </c>
      <c r="T40" s="348"/>
      <c r="U40" s="355">
        <f t="shared" si="7"/>
        <v>0</v>
      </c>
      <c r="V40" s="356"/>
      <c r="W40" s="223"/>
      <c r="X40" s="21"/>
      <c r="Y40" s="223"/>
      <c r="Z40" s="357" t="s">
        <v>3</v>
      </c>
      <c r="AA40" s="358"/>
      <c r="AB40" s="358"/>
      <c r="AC40" s="358"/>
      <c r="AD40" s="358"/>
      <c r="AE40" s="359"/>
      <c r="AF40" s="360">
        <f>+AN27+AS27</f>
        <v>27.3</v>
      </c>
      <c r="AG40" s="315"/>
      <c r="AO40" s="21"/>
      <c r="AP40" s="21"/>
      <c r="AQ40" s="21"/>
      <c r="AR40" s="21"/>
      <c r="AS40" s="21"/>
      <c r="AT40" s="21"/>
    </row>
    <row r="41" spans="1:46" s="148" customFormat="1" ht="33" customHeight="1">
      <c r="A41" s="321"/>
      <c r="B41" s="322"/>
      <c r="C41" s="323"/>
      <c r="D41" s="476"/>
      <c r="E41" s="477"/>
      <c r="F41" s="476"/>
      <c r="G41" s="477"/>
      <c r="H41" s="476"/>
      <c r="I41" s="477"/>
      <c r="L41" s="507" t="s">
        <v>57</v>
      </c>
      <c r="M41" s="373"/>
      <c r="N41" s="373"/>
      <c r="O41" s="347">
        <f>AD10</f>
        <v>0</v>
      </c>
      <c r="P41" s="348"/>
      <c r="Q41" s="347">
        <f>AI10</f>
        <v>0</v>
      </c>
      <c r="R41" s="348"/>
      <c r="S41" s="347">
        <f>AD26</f>
        <v>0</v>
      </c>
      <c r="T41" s="348"/>
      <c r="U41" s="355">
        <f t="shared" si="7"/>
        <v>0</v>
      </c>
      <c r="V41" s="356"/>
      <c r="W41" s="223"/>
      <c r="X41" s="21"/>
      <c r="Y41" s="223"/>
      <c r="Z41" s="343" t="s">
        <v>39</v>
      </c>
      <c r="AA41" s="344"/>
      <c r="AB41" s="344"/>
      <c r="AC41" s="344"/>
      <c r="AD41" s="344"/>
      <c r="AE41" s="345"/>
      <c r="AF41" s="346">
        <f>SUM(AF37:AF40)</f>
        <v>549.29999999999995</v>
      </c>
      <c r="AG41" s="315"/>
      <c r="AL41" s="246"/>
      <c r="AM41" s="246"/>
      <c r="AN41" s="21"/>
      <c r="AO41" s="21"/>
      <c r="AP41" s="21"/>
      <c r="AQ41" s="21"/>
      <c r="AR41" s="21"/>
      <c r="AS41" s="21"/>
      <c r="AT41" s="21"/>
    </row>
    <row r="42" spans="1:46" ht="33" customHeight="1">
      <c r="L42" s="148"/>
      <c r="M42" s="148"/>
      <c r="N42" s="148"/>
      <c r="O42" s="347">
        <f>SUM(O38:P41)</f>
        <v>32</v>
      </c>
      <c r="P42" s="348"/>
      <c r="Q42" s="347">
        <f t="shared" ref="Q42" si="8">SUM(Q38:R41)</f>
        <v>6</v>
      </c>
      <c r="R42" s="348"/>
      <c r="S42" s="347">
        <f t="shared" ref="S42" si="9">SUM(S38:T41)</f>
        <v>7</v>
      </c>
      <c r="T42" s="348"/>
      <c r="U42" s="347">
        <f>SUM(U38:V41)</f>
        <v>522</v>
      </c>
      <c r="V42" s="348"/>
      <c r="W42" s="148"/>
      <c r="X42" s="148"/>
      <c r="Y42" s="148"/>
      <c r="Z42" s="349" t="s">
        <v>45</v>
      </c>
      <c r="AA42" s="349"/>
      <c r="AB42" s="349"/>
      <c r="AC42" s="349"/>
      <c r="AD42" s="349"/>
      <c r="AE42" s="349"/>
      <c r="AF42" s="350">
        <f>V48</f>
        <v>543.29999999999995</v>
      </c>
      <c r="AG42" s="315"/>
      <c r="AL42" s="2"/>
    </row>
    <row r="43" spans="1:46" ht="33" customHeight="1">
      <c r="AF43" s="351">
        <f>AF42-AF41</f>
        <v>-6</v>
      </c>
      <c r="AG43" s="352"/>
      <c r="AL43" s="2"/>
    </row>
    <row r="44" spans="1:46" ht="33" customHeight="1">
      <c r="C44" s="332" t="s">
        <v>46</v>
      </c>
      <c r="D44" s="332"/>
      <c r="E44" s="332"/>
      <c r="F44" s="333"/>
      <c r="H44" s="332" t="s">
        <v>47</v>
      </c>
      <c r="I44" s="332"/>
      <c r="J44" s="332"/>
      <c r="K44" s="333"/>
      <c r="O44" s="334" t="s">
        <v>48</v>
      </c>
      <c r="P44" s="335"/>
      <c r="Q44" s="335"/>
      <c r="R44" s="335"/>
      <c r="S44" s="335"/>
      <c r="T44" s="335"/>
      <c r="U44" s="335"/>
      <c r="V44" s="335"/>
      <c r="W44" s="335"/>
      <c r="X44" s="336"/>
      <c r="AL44" s="2"/>
    </row>
    <row r="45" spans="1:46" ht="33" customHeight="1">
      <c r="C45" s="311">
        <v>10</v>
      </c>
      <c r="D45" s="311"/>
      <c r="E45" s="247">
        <v>1</v>
      </c>
      <c r="F45" s="247">
        <f>E45*C45</f>
        <v>10</v>
      </c>
      <c r="H45" s="312">
        <v>1</v>
      </c>
      <c r="I45" s="312"/>
      <c r="J45" s="247">
        <v>1</v>
      </c>
      <c r="K45" s="247">
        <f>J45*H45</f>
        <v>1</v>
      </c>
      <c r="O45" s="337" t="s">
        <v>49</v>
      </c>
      <c r="P45" s="337"/>
      <c r="Q45" s="337"/>
      <c r="R45" s="337"/>
      <c r="S45" s="454">
        <f>F51</f>
        <v>1780</v>
      </c>
      <c r="T45" s="454"/>
      <c r="U45" s="454"/>
      <c r="V45" s="327">
        <f>S45/P2</f>
        <v>2</v>
      </c>
      <c r="W45" s="327"/>
      <c r="X45" s="327"/>
    </row>
    <row r="46" spans="1:46" ht="33" customHeight="1">
      <c r="C46" s="311">
        <v>20</v>
      </c>
      <c r="D46" s="311"/>
      <c r="E46" s="247">
        <v>1</v>
      </c>
      <c r="F46" s="247">
        <f t="shared" ref="F46:F50" si="10">E46*C46</f>
        <v>20</v>
      </c>
      <c r="H46" s="312">
        <v>5</v>
      </c>
      <c r="I46" s="312"/>
      <c r="J46" s="247"/>
      <c r="K46" s="247">
        <f t="shared" ref="K46:K50" si="11">J46*H46</f>
        <v>0</v>
      </c>
      <c r="O46" s="326" t="s">
        <v>50</v>
      </c>
      <c r="P46" s="326"/>
      <c r="Q46" s="326"/>
      <c r="R46" s="326"/>
      <c r="S46" s="340">
        <v>258367</v>
      </c>
      <c r="T46" s="341"/>
      <c r="U46" s="342"/>
      <c r="V46" s="327">
        <f>S46/P2</f>
        <v>290.3</v>
      </c>
      <c r="W46" s="327"/>
      <c r="X46" s="327"/>
    </row>
    <row r="47" spans="1:46" ht="33" customHeight="1">
      <c r="C47" s="311">
        <v>50</v>
      </c>
      <c r="D47" s="311"/>
      <c r="E47" s="50">
        <v>1</v>
      </c>
      <c r="F47" s="247">
        <f t="shared" si="10"/>
        <v>50</v>
      </c>
      <c r="H47" s="312">
        <v>10</v>
      </c>
      <c r="I47" s="312"/>
      <c r="J47" s="50"/>
      <c r="K47" s="247">
        <f t="shared" si="11"/>
        <v>0</v>
      </c>
      <c r="O47" s="326" t="s">
        <v>47</v>
      </c>
      <c r="P47" s="326"/>
      <c r="Q47" s="326"/>
      <c r="R47" s="326"/>
      <c r="S47" s="327">
        <f>K51</f>
        <v>251</v>
      </c>
      <c r="T47" s="327"/>
      <c r="U47" s="328"/>
      <c r="V47" s="327">
        <f>S47</f>
        <v>251</v>
      </c>
      <c r="W47" s="327"/>
      <c r="X47" s="327"/>
    </row>
    <row r="48" spans="1:46" ht="33" customHeight="1">
      <c r="C48" s="311">
        <v>100</v>
      </c>
      <c r="D48" s="311"/>
      <c r="E48" s="50"/>
      <c r="F48" s="247">
        <f t="shared" si="10"/>
        <v>0</v>
      </c>
      <c r="H48" s="312">
        <v>20</v>
      </c>
      <c r="I48" s="312"/>
      <c r="J48" s="50"/>
      <c r="K48" s="247">
        <f t="shared" si="11"/>
        <v>0</v>
      </c>
      <c r="O48" s="248"/>
      <c r="P48" s="248"/>
      <c r="Q48" s="248"/>
      <c r="R48" s="248"/>
      <c r="S48" s="330"/>
      <c r="T48" s="330"/>
      <c r="U48" s="330"/>
      <c r="V48" s="451">
        <f>SUM(V45:V47)</f>
        <v>543.29999999999995</v>
      </c>
      <c r="W48" s="452"/>
      <c r="X48" s="453"/>
    </row>
    <row r="49" spans="3:24" ht="33" customHeight="1">
      <c r="C49" s="311">
        <v>200</v>
      </c>
      <c r="D49" s="311"/>
      <c r="E49" s="50">
        <v>1</v>
      </c>
      <c r="F49" s="247">
        <f t="shared" si="10"/>
        <v>200</v>
      </c>
      <c r="H49" s="312">
        <v>50</v>
      </c>
      <c r="I49" s="312"/>
      <c r="J49" s="50">
        <v>1</v>
      </c>
      <c r="K49" s="247">
        <f t="shared" si="11"/>
        <v>50</v>
      </c>
      <c r="O49" s="248"/>
      <c r="P49" s="248"/>
      <c r="Q49" s="248"/>
      <c r="R49" s="248"/>
      <c r="S49" s="249"/>
      <c r="T49" s="249"/>
      <c r="U49" s="249"/>
      <c r="V49" s="249"/>
      <c r="W49" s="249"/>
      <c r="X49" s="249"/>
    </row>
    <row r="50" spans="3:24" ht="33" customHeight="1">
      <c r="C50" s="311">
        <v>500</v>
      </c>
      <c r="D50" s="311"/>
      <c r="E50" s="50">
        <v>3</v>
      </c>
      <c r="F50" s="247">
        <f t="shared" si="10"/>
        <v>1500</v>
      </c>
      <c r="H50" s="312">
        <v>100</v>
      </c>
      <c r="I50" s="312"/>
      <c r="J50" s="50">
        <v>2</v>
      </c>
      <c r="K50" s="247">
        <f t="shared" si="11"/>
        <v>200</v>
      </c>
    </row>
    <row r="51" spans="3:24" ht="33" customHeight="1">
      <c r="F51" s="250">
        <f>SUM(F45:F50)</f>
        <v>1780</v>
      </c>
      <c r="K51" s="250">
        <f>SUM(K45:K50)</f>
        <v>251</v>
      </c>
    </row>
    <row r="52" spans="3:24" ht="33" customHeight="1"/>
    <row r="53" spans="3:24" ht="33" customHeight="1"/>
    <row r="54" spans="3:24" ht="33" customHeight="1"/>
    <row r="55" spans="3:24" ht="33" customHeight="1"/>
    <row r="56" spans="3:24" ht="33" customHeight="1"/>
    <row r="57" spans="3:24" ht="33" customHeight="1"/>
    <row r="58" spans="3:24" ht="33" customHeight="1"/>
    <row r="59" spans="3:24" ht="33" customHeight="1"/>
    <row r="60" spans="3:24" ht="33" customHeight="1"/>
    <row r="61" spans="3:24" ht="33" customHeight="1"/>
    <row r="62" spans="3:24" ht="33" customHeight="1"/>
    <row r="63" spans="3:24" ht="33" customHeight="1"/>
    <row r="64" spans="3:2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spans="2:38" ht="33" customHeight="1"/>
    <row r="82" spans="2:38" ht="33" customHeight="1"/>
    <row r="83" spans="2:38" ht="33" customHeight="1"/>
    <row r="84" spans="2:38" ht="33" customHeight="1"/>
    <row r="85" spans="2:38" ht="33" customHeight="1"/>
    <row r="86" spans="2:38" ht="33" customHeight="1"/>
    <row r="87" spans="2:38" ht="33" customHeight="1"/>
    <row r="88" spans="2:38" ht="33" customHeight="1"/>
    <row r="89" spans="2:38" ht="33" customHeight="1">
      <c r="B89" s="148"/>
      <c r="C89" s="148"/>
      <c r="D89" s="148"/>
      <c r="E89" s="148"/>
      <c r="F89" s="237" t="s">
        <v>29</v>
      </c>
      <c r="G89" s="229"/>
      <c r="H89" s="229"/>
      <c r="I89" s="229"/>
      <c r="J89" s="229"/>
      <c r="K89" s="230"/>
      <c r="L89" s="148"/>
      <c r="M89" s="237" t="s">
        <v>30</v>
      </c>
      <c r="N89" s="229"/>
      <c r="O89" s="229"/>
      <c r="P89" s="229"/>
      <c r="Q89" s="229"/>
      <c r="R89" s="230"/>
      <c r="S89" s="148"/>
      <c r="T89" s="148"/>
      <c r="U89" s="148"/>
      <c r="V89" s="251" t="s">
        <v>51</v>
      </c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30"/>
      <c r="AL89" s="246"/>
    </row>
    <row r="90" spans="2:38" ht="33" customHeight="1">
      <c r="B90" s="148"/>
      <c r="C90" s="228" t="s">
        <v>33</v>
      </c>
      <c r="D90" s="229"/>
      <c r="E90" s="230"/>
      <c r="F90" s="231" t="s">
        <v>36</v>
      </c>
      <c r="G90" s="223"/>
      <c r="H90" s="232" t="s">
        <v>37</v>
      </c>
      <c r="I90" s="233"/>
      <c r="J90" s="252" t="s">
        <v>38</v>
      </c>
      <c r="K90" s="233"/>
      <c r="L90" s="21"/>
      <c r="M90" s="231" t="s">
        <v>36</v>
      </c>
      <c r="N90" s="223"/>
      <c r="O90" s="232" t="s">
        <v>37</v>
      </c>
      <c r="P90" s="233"/>
      <c r="Q90" s="252" t="s">
        <v>38</v>
      </c>
      <c r="R90" s="233"/>
      <c r="S90" s="21"/>
      <c r="T90" s="21"/>
      <c r="U90" s="21"/>
      <c r="V90" s="150" t="s">
        <v>52</v>
      </c>
      <c r="W90" s="229"/>
      <c r="X90" s="229"/>
      <c r="Y90" s="229"/>
      <c r="Z90" s="229"/>
      <c r="AA90" s="229"/>
      <c r="AB90" s="230"/>
      <c r="AC90" s="253" t="s">
        <v>53</v>
      </c>
      <c r="AD90" s="229"/>
      <c r="AE90" s="229"/>
      <c r="AF90" s="229"/>
      <c r="AG90" s="230"/>
      <c r="AH90" s="253" t="s">
        <v>54</v>
      </c>
      <c r="AI90" s="229"/>
      <c r="AJ90" s="229"/>
      <c r="AK90" s="230"/>
      <c r="AL90" s="246"/>
    </row>
    <row r="91" spans="2:38" ht="33" customHeight="1">
      <c r="B91" s="148"/>
      <c r="C91" s="237" t="s">
        <v>16</v>
      </c>
      <c r="D91" s="229"/>
      <c r="E91" s="230"/>
      <c r="F91" s="238">
        <f>AD7</f>
        <v>15</v>
      </c>
      <c r="G91" s="230"/>
      <c r="H91" s="238">
        <f>AE7</f>
        <v>4</v>
      </c>
      <c r="I91" s="230"/>
      <c r="J91" s="238">
        <f>F91*D38+H91*F38</f>
        <v>160</v>
      </c>
      <c r="K91" s="230"/>
      <c r="L91" s="21"/>
      <c r="M91" s="238">
        <f>AD23</f>
        <v>4</v>
      </c>
      <c r="N91" s="230"/>
      <c r="O91" s="254">
        <f>AE23</f>
        <v>0</v>
      </c>
      <c r="P91" s="230"/>
      <c r="Q91" s="238">
        <f>M91*H38+O91*F38</f>
        <v>80</v>
      </c>
      <c r="R91" s="230"/>
      <c r="S91" s="148"/>
      <c r="T91" s="148"/>
      <c r="U91" s="148"/>
      <c r="V91" s="255" t="s">
        <v>46</v>
      </c>
      <c r="W91" s="229"/>
      <c r="X91" s="229"/>
      <c r="Y91" s="229"/>
      <c r="Z91" s="229"/>
      <c r="AA91" s="229"/>
      <c r="AB91" s="230"/>
      <c r="AC91" s="238">
        <f>G132</f>
        <v>0</v>
      </c>
      <c r="AD91" s="229"/>
      <c r="AE91" s="229"/>
      <c r="AF91" s="229"/>
      <c r="AG91" s="230"/>
      <c r="AH91" s="238"/>
      <c r="AI91" s="229"/>
      <c r="AJ91" s="229"/>
      <c r="AK91" s="230"/>
      <c r="AL91" s="21"/>
    </row>
    <row r="92" spans="2:38" ht="33" customHeight="1">
      <c r="C92" s="241" t="s">
        <v>42</v>
      </c>
      <c r="D92" s="229"/>
      <c r="E92" s="230"/>
      <c r="F92" s="238">
        <f>AD8</f>
        <v>17</v>
      </c>
      <c r="G92" s="230"/>
      <c r="H92" s="238">
        <f>AE8</f>
        <v>2</v>
      </c>
      <c r="I92" s="230"/>
      <c r="J92" s="238">
        <f>F92*D39+H92*F39</f>
        <v>210</v>
      </c>
      <c r="K92" s="230"/>
      <c r="L92" s="21"/>
      <c r="M92" s="238">
        <f>AD24</f>
        <v>3</v>
      </c>
      <c r="N92" s="230"/>
      <c r="O92" s="254">
        <f>AE24</f>
        <v>0</v>
      </c>
      <c r="P92" s="230"/>
      <c r="Q92" s="238">
        <f>M92*H39+O92*F39</f>
        <v>72</v>
      </c>
      <c r="R92" s="230"/>
      <c r="S92" s="148"/>
      <c r="T92" s="148"/>
      <c r="U92" s="148"/>
      <c r="V92" s="255" t="s">
        <v>55</v>
      </c>
      <c r="W92" s="229"/>
      <c r="X92" s="229"/>
      <c r="Y92" s="229"/>
      <c r="Z92" s="229"/>
      <c r="AA92" s="229"/>
      <c r="AB92" s="230"/>
      <c r="AC92" s="238">
        <v>112000</v>
      </c>
      <c r="AD92" s="229"/>
      <c r="AE92" s="229"/>
      <c r="AF92" s="229"/>
      <c r="AG92" s="230"/>
      <c r="AH92" s="238"/>
      <c r="AI92" s="229"/>
      <c r="AJ92" s="229"/>
      <c r="AK92" s="230"/>
      <c r="AL92" s="2"/>
    </row>
    <row r="93" spans="2:38" ht="33" customHeight="1">
      <c r="C93" s="228" t="s">
        <v>18</v>
      </c>
      <c r="D93" s="229"/>
      <c r="E93" s="229"/>
      <c r="F93" s="238">
        <f>AD9</f>
        <v>0</v>
      </c>
      <c r="G93" s="230"/>
      <c r="H93" s="238">
        <f>AE9</f>
        <v>0</v>
      </c>
      <c r="I93" s="230"/>
      <c r="J93" s="238">
        <f>F93*D40+H93*F40</f>
        <v>0</v>
      </c>
      <c r="K93" s="230"/>
      <c r="L93" s="21"/>
      <c r="M93" s="238">
        <f>AD25</f>
        <v>0</v>
      </c>
      <c r="N93" s="230"/>
      <c r="O93" s="238">
        <f>AE25</f>
        <v>0</v>
      </c>
      <c r="P93" s="230"/>
      <c r="Q93" s="238">
        <f>M93*H40+O93*F40</f>
        <v>0</v>
      </c>
      <c r="R93" s="230"/>
      <c r="S93" s="148"/>
      <c r="T93" s="148"/>
      <c r="U93" s="148"/>
      <c r="V93" s="255" t="s">
        <v>56</v>
      </c>
      <c r="W93" s="229"/>
      <c r="X93" s="229"/>
      <c r="Y93" s="229"/>
      <c r="Z93" s="229"/>
      <c r="AA93" s="229"/>
      <c r="AB93" s="230"/>
      <c r="AC93" s="238">
        <v>0</v>
      </c>
      <c r="AD93" s="229"/>
      <c r="AE93" s="229"/>
      <c r="AF93" s="229"/>
      <c r="AG93" s="230"/>
      <c r="AH93" s="238"/>
      <c r="AI93" s="229"/>
      <c r="AJ93" s="229"/>
      <c r="AK93" s="230"/>
      <c r="AL93" s="2"/>
    </row>
    <row r="94" spans="2:38" ht="33" customHeight="1">
      <c r="C94" s="244" t="s">
        <v>57</v>
      </c>
      <c r="D94" s="229"/>
      <c r="E94" s="229"/>
      <c r="F94" s="238">
        <f>AD10</f>
        <v>0</v>
      </c>
      <c r="G94" s="230"/>
      <c r="H94" s="238">
        <f>AE10</f>
        <v>0</v>
      </c>
      <c r="I94" s="230"/>
      <c r="J94" s="238">
        <f>F94*D41+H94*F41</f>
        <v>0</v>
      </c>
      <c r="K94" s="230"/>
      <c r="L94" s="21"/>
      <c r="M94" s="238">
        <f>AD26</f>
        <v>0</v>
      </c>
      <c r="N94" s="230"/>
      <c r="O94" s="238">
        <f>AE26</f>
        <v>0</v>
      </c>
      <c r="P94" s="230"/>
      <c r="Q94" s="238">
        <f>M94*H41+O94*F41</f>
        <v>0</v>
      </c>
      <c r="R94" s="230"/>
      <c r="S94" s="148"/>
      <c r="T94" s="148"/>
      <c r="U94" s="148"/>
      <c r="V94" s="256" t="s">
        <v>58</v>
      </c>
      <c r="W94" s="257"/>
      <c r="X94" s="257"/>
      <c r="Y94" s="257"/>
      <c r="Z94" s="257"/>
      <c r="AA94" s="257"/>
      <c r="AB94" s="258"/>
      <c r="AC94" s="259">
        <f>SUM(AC91:AG93)/P2</f>
        <v>125.84269662921348</v>
      </c>
      <c r="AD94" s="257"/>
      <c r="AE94" s="257"/>
      <c r="AF94" s="257"/>
      <c r="AG94" s="258"/>
      <c r="AH94" s="260">
        <v>0</v>
      </c>
      <c r="AI94" s="257"/>
      <c r="AJ94" s="257"/>
      <c r="AK94" s="258"/>
    </row>
    <row r="95" spans="2:38" ht="33" customHeight="1">
      <c r="C95" s="261" t="s">
        <v>44</v>
      </c>
      <c r="D95" s="229"/>
      <c r="E95" s="230"/>
      <c r="F95" s="150" t="s">
        <v>59</v>
      </c>
      <c r="G95" s="230"/>
      <c r="H95" s="150" t="s">
        <v>59</v>
      </c>
      <c r="I95" s="230"/>
      <c r="J95" s="150" t="e">
        <f>AD11*#REF!</f>
        <v>#REF!</v>
      </c>
      <c r="K95" s="230"/>
      <c r="L95" s="262"/>
      <c r="M95" s="150" t="s">
        <v>59</v>
      </c>
      <c r="N95" s="230"/>
      <c r="O95" s="150" t="s">
        <v>59</v>
      </c>
      <c r="P95" s="230"/>
      <c r="Q95" s="150" t="e">
        <f>AD27*#REF!</f>
        <v>#REF!</v>
      </c>
      <c r="R95" s="230"/>
      <c r="S95" s="148"/>
      <c r="T95" s="148"/>
      <c r="U95" s="148"/>
      <c r="V95" s="263"/>
      <c r="W95" s="264"/>
      <c r="X95" s="264"/>
      <c r="Y95" s="264"/>
      <c r="Z95" s="264"/>
      <c r="AA95" s="264"/>
      <c r="AB95" s="233"/>
      <c r="AC95" s="263"/>
      <c r="AD95" s="264"/>
      <c r="AE95" s="264"/>
      <c r="AF95" s="264"/>
      <c r="AG95" s="233"/>
      <c r="AH95" s="263"/>
      <c r="AI95" s="264"/>
      <c r="AJ95" s="264"/>
      <c r="AK95" s="233"/>
      <c r="AL95" s="27"/>
    </row>
    <row r="96" spans="2:38" ht="33" customHeight="1">
      <c r="C96" s="21"/>
      <c r="D96" s="21"/>
      <c r="E96" s="21"/>
      <c r="F96" s="265">
        <f>SUM(F91:F94)</f>
        <v>32</v>
      </c>
      <c r="G96" s="230"/>
      <c r="H96" s="266">
        <f>SUM(H91:H94)</f>
        <v>6</v>
      </c>
      <c r="I96" s="230"/>
      <c r="J96" s="265" t="e">
        <f>SUM(J91:K95)</f>
        <v>#REF!</v>
      </c>
      <c r="K96" s="230"/>
      <c r="L96" s="21"/>
      <c r="M96" s="265">
        <f>SUM(M91:M94)</f>
        <v>7</v>
      </c>
      <c r="N96" s="230"/>
      <c r="O96" s="265">
        <f>SUM(O91:O94)</f>
        <v>0</v>
      </c>
      <c r="P96" s="230"/>
      <c r="Q96" s="265" t="e">
        <f>SUM(Q91:R95)</f>
        <v>#REF!</v>
      </c>
      <c r="R96" s="230"/>
      <c r="S96" s="148"/>
      <c r="T96" s="148"/>
      <c r="U96" s="148"/>
      <c r="V96" s="238" t="s">
        <v>47</v>
      </c>
      <c r="W96" s="229"/>
      <c r="X96" s="229"/>
      <c r="Y96" s="229"/>
      <c r="Z96" s="229"/>
      <c r="AA96" s="229"/>
      <c r="AB96" s="230"/>
      <c r="AC96" s="238">
        <f>K131</f>
        <v>55</v>
      </c>
      <c r="AD96" s="229"/>
      <c r="AE96" s="229"/>
      <c r="AF96" s="229"/>
      <c r="AG96" s="230"/>
      <c r="AH96" s="238"/>
      <c r="AI96" s="229"/>
      <c r="AJ96" s="229"/>
      <c r="AK96" s="230"/>
    </row>
    <row r="97" spans="3:38" ht="33" customHeight="1"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267" t="s">
        <v>45</v>
      </c>
      <c r="W97" s="229"/>
      <c r="X97" s="229"/>
      <c r="Y97" s="229"/>
      <c r="Z97" s="229"/>
      <c r="AA97" s="229"/>
      <c r="AB97" s="230"/>
      <c r="AC97" s="268">
        <f>AC94+AC96</f>
        <v>180.84269662921349</v>
      </c>
      <c r="AD97" s="229"/>
      <c r="AE97" s="229"/>
      <c r="AF97" s="229"/>
      <c r="AG97" s="230"/>
      <c r="AH97" s="238">
        <v>0</v>
      </c>
      <c r="AI97" s="229"/>
      <c r="AJ97" s="229"/>
      <c r="AK97" s="230"/>
    </row>
    <row r="98" spans="3:38" ht="33" customHeight="1">
      <c r="C98" s="224" t="s">
        <v>31</v>
      </c>
      <c r="D98" s="111"/>
      <c r="E98" s="111"/>
      <c r="F98" s="111"/>
      <c r="G98" s="111"/>
      <c r="H98" s="20"/>
      <c r="I98" s="109">
        <f>F96+M96</f>
        <v>39</v>
      </c>
      <c r="J98" s="20"/>
      <c r="AH98" s="269">
        <f>AC97+AH97</f>
        <v>180.84269662921349</v>
      </c>
      <c r="AI98" s="111"/>
      <c r="AJ98" s="111"/>
      <c r="AK98" s="20"/>
      <c r="AL98" s="270"/>
    </row>
    <row r="99" spans="3:38" ht="33" customHeight="1">
      <c r="C99" s="224" t="s">
        <v>39</v>
      </c>
      <c r="D99" s="111"/>
      <c r="E99" s="111"/>
      <c r="F99" s="111"/>
      <c r="G99" s="111"/>
      <c r="H99" s="20"/>
      <c r="I99" s="234" t="e">
        <f>J96+Q96</f>
        <v>#REF!</v>
      </c>
      <c r="J99" s="20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L99" s="2"/>
    </row>
    <row r="100" spans="3:38" ht="33" customHeight="1">
      <c r="C100" s="239" t="s">
        <v>60</v>
      </c>
      <c r="D100" s="111"/>
      <c r="E100" s="111"/>
      <c r="F100" s="111"/>
      <c r="G100" s="111"/>
      <c r="H100" s="20"/>
      <c r="I100" s="240">
        <f>I122</f>
        <v>20</v>
      </c>
      <c r="J100" s="20"/>
      <c r="L100" s="271" t="s">
        <v>61</v>
      </c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3"/>
      <c r="AL100" s="2"/>
    </row>
    <row r="101" spans="3:38" ht="33" customHeight="1">
      <c r="C101" s="239" t="s">
        <v>62</v>
      </c>
      <c r="D101" s="111"/>
      <c r="E101" s="111"/>
      <c r="F101" s="111"/>
      <c r="G101" s="111"/>
      <c r="H101" s="20"/>
      <c r="I101" s="240">
        <v>0</v>
      </c>
      <c r="J101" s="20"/>
      <c r="L101" s="274"/>
      <c r="AH101" s="275"/>
      <c r="AL101" s="2"/>
    </row>
    <row r="102" spans="3:38" ht="33" customHeight="1">
      <c r="C102" s="239" t="s">
        <v>63</v>
      </c>
      <c r="D102" s="111"/>
      <c r="E102" s="111"/>
      <c r="F102" s="111"/>
      <c r="G102" s="111"/>
      <c r="H102" s="20"/>
      <c r="I102" s="240" t="e">
        <f>SUM(I99:I101)</f>
        <v>#REF!</v>
      </c>
      <c r="J102" s="20"/>
      <c r="K102" s="270"/>
      <c r="L102" s="274"/>
      <c r="AH102" s="275"/>
      <c r="AI102" s="270"/>
      <c r="AJ102" s="270"/>
      <c r="AK102" s="270"/>
      <c r="AL102" s="2"/>
    </row>
    <row r="103" spans="3:38" ht="33" customHeight="1">
      <c r="C103" s="276" t="s">
        <v>64</v>
      </c>
      <c r="D103" s="111"/>
      <c r="E103" s="111"/>
      <c r="F103" s="111"/>
      <c r="G103" s="111"/>
      <c r="H103" s="20"/>
      <c r="I103" s="245" t="e">
        <f>AH98-I102</f>
        <v>#REF!</v>
      </c>
      <c r="J103" s="20"/>
      <c r="L103" s="274"/>
      <c r="AH103" s="275"/>
      <c r="AL103" s="2"/>
    </row>
    <row r="104" spans="3:38" ht="33" customHeight="1">
      <c r="L104" s="274"/>
      <c r="AH104" s="275"/>
      <c r="AL104" s="2"/>
    </row>
    <row r="105" spans="3:38" ht="33" customHeight="1">
      <c r="L105" s="274"/>
      <c r="AH105" s="275"/>
    </row>
    <row r="106" spans="3:38" ht="33" customHeight="1">
      <c r="L106" s="274"/>
      <c r="AH106" s="275"/>
      <c r="AL106" s="2"/>
    </row>
    <row r="107" spans="3:38" ht="33" customHeight="1">
      <c r="L107" s="274"/>
      <c r="AH107" s="275"/>
      <c r="AL107" s="2"/>
    </row>
    <row r="108" spans="3:38" ht="33" customHeight="1">
      <c r="L108" s="277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9"/>
    </row>
    <row r="109" spans="3:38" ht="33" customHeight="1"/>
    <row r="110" spans="3:38" ht="33" customHeight="1"/>
    <row r="111" spans="3:38" ht="33" customHeight="1">
      <c r="AL111" s="2"/>
    </row>
    <row r="112" spans="3:38" ht="33" customHeight="1"/>
    <row r="113" spans="5:11" ht="33" customHeight="1"/>
    <row r="114" spans="5:11" ht="33" customHeight="1"/>
    <row r="115" spans="5:11" ht="33" customHeight="1"/>
    <row r="116" spans="5:11" ht="33" customHeight="1"/>
    <row r="117" spans="5:11" ht="33" customHeight="1"/>
    <row r="118" spans="5:11" ht="33" customHeight="1"/>
    <row r="119" spans="5:11" ht="33" customHeight="1"/>
    <row r="120" spans="5:11" ht="33" customHeight="1"/>
    <row r="121" spans="5:11" ht="33" customHeight="1"/>
    <row r="122" spans="5:11" ht="33" customHeight="1">
      <c r="E122" s="313" t="s">
        <v>65</v>
      </c>
      <c r="F122" s="314"/>
      <c r="G122" s="314"/>
      <c r="H122" s="315"/>
      <c r="I122" s="280">
        <f>SUM(AN3:AN17)</f>
        <v>20</v>
      </c>
      <c r="J122" s="2"/>
    </row>
    <row r="123" spans="5:11" ht="33" customHeight="1">
      <c r="E123" s="316" t="s">
        <v>53</v>
      </c>
      <c r="F123" s="314"/>
      <c r="G123" s="314"/>
      <c r="H123" s="314"/>
      <c r="I123" s="314"/>
      <c r="J123" s="314"/>
      <c r="K123" s="315"/>
    </row>
    <row r="124" spans="5:11" ht="33" customHeight="1">
      <c r="E124" s="317" t="s">
        <v>46</v>
      </c>
      <c r="F124" s="314"/>
      <c r="G124" s="315"/>
      <c r="H124" s="2"/>
      <c r="I124" s="318" t="s">
        <v>47</v>
      </c>
      <c r="J124" s="314"/>
      <c r="K124" s="315"/>
    </row>
    <row r="125" spans="5:11" ht="33" customHeight="1">
      <c r="E125" s="45">
        <v>5</v>
      </c>
      <c r="F125" s="45"/>
      <c r="G125" s="45">
        <f t="shared" ref="G125:G131" si="12">F125*E125</f>
        <v>0</v>
      </c>
      <c r="H125" s="17"/>
      <c r="I125" s="45">
        <v>1</v>
      </c>
      <c r="J125" s="45"/>
      <c r="K125" s="45">
        <f t="shared" ref="K125:K130" si="13">J125*I125</f>
        <v>0</v>
      </c>
    </row>
    <row r="126" spans="5:11" ht="33" customHeight="1">
      <c r="E126" s="45">
        <v>10</v>
      </c>
      <c r="F126" s="45"/>
      <c r="G126" s="45">
        <f t="shared" si="12"/>
        <v>0</v>
      </c>
      <c r="H126" s="17"/>
      <c r="I126" s="45">
        <v>5</v>
      </c>
      <c r="J126" s="45">
        <v>1</v>
      </c>
      <c r="K126" s="45">
        <f t="shared" si="13"/>
        <v>5</v>
      </c>
    </row>
    <row r="127" spans="5:11" ht="33" customHeight="1">
      <c r="E127" s="48">
        <v>20</v>
      </c>
      <c r="F127" s="48"/>
      <c r="G127" s="48">
        <f t="shared" si="12"/>
        <v>0</v>
      </c>
      <c r="H127" s="17"/>
      <c r="I127" s="45">
        <v>10</v>
      </c>
      <c r="J127" s="45"/>
      <c r="K127" s="45">
        <f t="shared" si="13"/>
        <v>0</v>
      </c>
    </row>
    <row r="128" spans="5:11" ht="33" customHeight="1">
      <c r="E128" s="48">
        <v>50</v>
      </c>
      <c r="F128" s="48"/>
      <c r="G128" s="48">
        <f t="shared" si="12"/>
        <v>0</v>
      </c>
      <c r="H128" s="17"/>
      <c r="I128" s="45">
        <v>20</v>
      </c>
      <c r="J128" s="45"/>
      <c r="K128" s="45">
        <f t="shared" si="13"/>
        <v>0</v>
      </c>
    </row>
    <row r="129" spans="5:11" ht="33" customHeight="1">
      <c r="E129" s="48">
        <v>100</v>
      </c>
      <c r="F129" s="48"/>
      <c r="G129" s="48">
        <f t="shared" si="12"/>
        <v>0</v>
      </c>
      <c r="H129" s="21"/>
      <c r="I129" s="48">
        <v>50</v>
      </c>
      <c r="J129" s="48">
        <v>1</v>
      </c>
      <c r="K129" s="48">
        <f t="shared" si="13"/>
        <v>50</v>
      </c>
    </row>
    <row r="130" spans="5:11" ht="33" customHeight="1">
      <c r="E130" s="49">
        <v>200</v>
      </c>
      <c r="F130" s="49"/>
      <c r="G130" s="49">
        <f t="shared" si="12"/>
        <v>0</v>
      </c>
      <c r="H130" s="21"/>
      <c r="I130" s="48">
        <v>100</v>
      </c>
      <c r="J130" s="48"/>
      <c r="K130" s="48">
        <f t="shared" si="13"/>
        <v>0</v>
      </c>
    </row>
    <row r="131" spans="5:11" ht="33" customHeight="1">
      <c r="E131" s="50">
        <v>500</v>
      </c>
      <c r="F131" s="50"/>
      <c r="G131" s="50">
        <f t="shared" si="12"/>
        <v>0</v>
      </c>
      <c r="H131" s="21"/>
      <c r="I131" s="21"/>
      <c r="J131" s="21"/>
      <c r="K131" s="48">
        <f>SUM(K124:K130)</f>
        <v>55</v>
      </c>
    </row>
    <row r="132" spans="5:11" ht="33" customHeight="1">
      <c r="E132" s="21"/>
      <c r="F132" s="21"/>
      <c r="G132" s="50">
        <f>SUM(G125:G131)</f>
        <v>0</v>
      </c>
      <c r="H132" s="21"/>
      <c r="I132" s="21"/>
      <c r="J132" s="21"/>
      <c r="K132" s="21"/>
    </row>
    <row r="133" spans="5:11" ht="33" customHeight="1"/>
    <row r="134" spans="5:11" ht="33" customHeight="1"/>
    <row r="135" spans="5:11" ht="33" customHeight="1"/>
    <row r="136" spans="5:11" ht="33" customHeight="1"/>
    <row r="137" spans="5:11" ht="33" customHeight="1"/>
    <row r="138" spans="5:11" ht="33" customHeight="1"/>
    <row r="139" spans="5:11" ht="33" customHeight="1"/>
    <row r="140" spans="5:11" ht="33" customHeight="1"/>
    <row r="141" spans="5:11" ht="33" customHeight="1"/>
    <row r="142" spans="5:11" ht="33" customHeight="1"/>
    <row r="143" spans="5:11" ht="33" customHeight="1"/>
    <row r="144" spans="5:11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  <row r="366" ht="33" customHeight="1"/>
    <row r="367" ht="33" customHeight="1"/>
    <row r="368" ht="33" customHeight="1"/>
    <row r="369" ht="33" customHeight="1"/>
    <row r="370" ht="33" customHeight="1"/>
    <row r="371" ht="33" customHeight="1"/>
    <row r="372" ht="33" customHeight="1"/>
    <row r="373" ht="33" customHeight="1"/>
    <row r="374" ht="33" customHeight="1"/>
    <row r="375" ht="33" customHeight="1"/>
    <row r="376" ht="33" customHeight="1"/>
    <row r="377" ht="33" customHeight="1"/>
    <row r="378" ht="33" customHeight="1"/>
    <row r="379" ht="33" customHeight="1"/>
    <row r="380" ht="33" customHeight="1"/>
    <row r="381" ht="33" customHeight="1"/>
    <row r="382" ht="33" customHeight="1"/>
    <row r="383" ht="33" customHeight="1"/>
    <row r="384" ht="33" customHeight="1"/>
    <row r="385" ht="33" customHeight="1"/>
    <row r="386" ht="33" customHeight="1"/>
    <row r="387" ht="33" customHeight="1"/>
    <row r="388" ht="33" customHeight="1"/>
    <row r="389" ht="33" customHeight="1"/>
    <row r="390" ht="33" customHeight="1"/>
    <row r="391" ht="33" customHeight="1"/>
    <row r="392" ht="33" customHeight="1"/>
    <row r="393" ht="33" customHeight="1"/>
    <row r="394" ht="33" customHeight="1"/>
    <row r="395" ht="33" customHeight="1"/>
    <row r="396" ht="33" customHeight="1"/>
    <row r="397" ht="33" customHeight="1"/>
    <row r="398" ht="33" customHeight="1"/>
    <row r="399" ht="33" customHeight="1"/>
    <row r="400" ht="33" customHeight="1"/>
    <row r="401" ht="33" customHeight="1"/>
    <row r="402" ht="33" customHeight="1"/>
    <row r="403" ht="33" customHeight="1"/>
    <row r="404" ht="33" customHeight="1"/>
    <row r="405" ht="33" customHeight="1"/>
    <row r="406" ht="33" customHeight="1"/>
    <row r="407" ht="33" customHeight="1"/>
    <row r="408" ht="33" customHeight="1"/>
    <row r="409" ht="33" customHeight="1"/>
    <row r="410" ht="33" customHeight="1"/>
    <row r="411" ht="33" customHeight="1"/>
    <row r="412" ht="33" customHeight="1"/>
    <row r="413" ht="33" customHeight="1"/>
    <row r="414" ht="33" customHeight="1"/>
    <row r="415" ht="33" customHeight="1"/>
    <row r="416" ht="33" customHeight="1"/>
    <row r="417" ht="33" customHeight="1"/>
    <row r="418" ht="33" customHeight="1"/>
    <row r="419" ht="33" customHeight="1"/>
    <row r="420" ht="33" customHeight="1"/>
    <row r="421" ht="33" customHeight="1"/>
    <row r="422" ht="33" customHeight="1"/>
    <row r="423" ht="33" customHeight="1"/>
    <row r="424" ht="33" customHeight="1"/>
    <row r="425" ht="33" customHeight="1"/>
    <row r="426" ht="33" customHeight="1"/>
    <row r="427" ht="33" customHeight="1"/>
    <row r="428" ht="33" customHeight="1"/>
    <row r="429" ht="33" customHeight="1"/>
    <row r="430" ht="33" customHeight="1"/>
    <row r="431" ht="33" customHeight="1"/>
    <row r="432" ht="33" customHeight="1"/>
    <row r="433" ht="33" customHeight="1"/>
    <row r="434" ht="33" customHeight="1"/>
    <row r="435" ht="33" customHeight="1"/>
    <row r="436" ht="33" customHeight="1"/>
    <row r="437" ht="33" customHeight="1"/>
    <row r="438" ht="33" customHeight="1"/>
    <row r="439" ht="33" customHeight="1"/>
    <row r="440" ht="33" customHeight="1"/>
    <row r="441" ht="33" customHeight="1"/>
    <row r="442" ht="33" customHeight="1"/>
    <row r="443" ht="33" customHeight="1"/>
    <row r="444" ht="33" customHeight="1"/>
    <row r="445" ht="33" customHeight="1"/>
    <row r="446" ht="33" customHeight="1"/>
    <row r="447" ht="33" customHeight="1"/>
    <row r="448" ht="33" customHeight="1"/>
    <row r="449" ht="33" customHeight="1"/>
    <row r="450" ht="33" customHeight="1"/>
    <row r="451" ht="33" customHeight="1"/>
    <row r="452" ht="33" customHeight="1"/>
    <row r="453" ht="33" customHeight="1"/>
    <row r="454" ht="33" customHeight="1"/>
    <row r="455" ht="33" customHeight="1"/>
    <row r="456" ht="33" customHeight="1"/>
    <row r="457" ht="33" customHeight="1"/>
    <row r="458" ht="33" customHeight="1"/>
    <row r="459" ht="33" customHeight="1"/>
    <row r="460" ht="33" customHeight="1"/>
    <row r="461" ht="33" customHeight="1"/>
    <row r="462" ht="33" customHeight="1"/>
    <row r="463" ht="33" customHeight="1"/>
    <row r="464" ht="33" customHeight="1"/>
    <row r="465" ht="33" customHeight="1"/>
    <row r="466" ht="33" customHeight="1"/>
    <row r="467" ht="33" customHeight="1"/>
    <row r="468" ht="33" customHeight="1"/>
    <row r="469" ht="33" customHeight="1"/>
    <row r="470" ht="33" customHeight="1"/>
    <row r="471" ht="33" customHeight="1"/>
    <row r="472" ht="33" customHeight="1"/>
    <row r="473" ht="33" customHeight="1"/>
    <row r="474" ht="33" customHeight="1"/>
    <row r="475" ht="33" customHeight="1"/>
    <row r="476" ht="33" customHeight="1"/>
    <row r="477" ht="33" customHeight="1"/>
    <row r="478" ht="33" customHeight="1"/>
    <row r="479" ht="33" customHeight="1"/>
    <row r="480" ht="33" customHeight="1"/>
    <row r="481" ht="33" customHeight="1"/>
    <row r="482" ht="33" customHeight="1"/>
    <row r="483" ht="33" customHeight="1"/>
    <row r="484" ht="33" customHeight="1"/>
    <row r="485" ht="33" customHeight="1"/>
    <row r="486" ht="33" customHeight="1"/>
    <row r="487" ht="33" customHeight="1"/>
    <row r="488" ht="33" customHeight="1"/>
    <row r="489" ht="33" customHeight="1"/>
    <row r="490" ht="33" customHeight="1"/>
    <row r="491" ht="33" customHeight="1"/>
    <row r="492" ht="33" customHeight="1"/>
    <row r="493" ht="33" customHeight="1"/>
    <row r="494" ht="33" customHeight="1"/>
    <row r="495" ht="33" customHeight="1"/>
    <row r="496" ht="33" customHeight="1"/>
    <row r="497" ht="33" customHeight="1"/>
    <row r="498" ht="33" customHeight="1"/>
    <row r="499" ht="33" customHeight="1"/>
    <row r="500" ht="33" customHeight="1"/>
    <row r="501" ht="33" customHeight="1"/>
    <row r="502" ht="33" customHeight="1"/>
    <row r="503" ht="33" customHeight="1"/>
    <row r="504" ht="33" customHeight="1"/>
    <row r="505" ht="33" customHeight="1"/>
    <row r="506" ht="33" customHeight="1"/>
    <row r="507" ht="33" customHeight="1"/>
    <row r="508" ht="33" customHeight="1"/>
    <row r="509" ht="33" customHeight="1"/>
    <row r="510" ht="33" customHeight="1"/>
    <row r="511" ht="33" customHeight="1"/>
    <row r="512" ht="33" customHeight="1"/>
    <row r="513" ht="33" customHeight="1"/>
    <row r="514" ht="33" customHeight="1"/>
    <row r="515" ht="33" customHeight="1"/>
    <row r="516" ht="33" customHeight="1"/>
    <row r="517" ht="33" customHeight="1"/>
    <row r="518" ht="33" customHeight="1"/>
    <row r="519" ht="33" customHeight="1"/>
    <row r="520" ht="33" customHeight="1"/>
    <row r="521" ht="33" customHeight="1"/>
    <row r="522" ht="33" customHeight="1"/>
    <row r="523" ht="33" customHeight="1"/>
    <row r="524" ht="33" customHeight="1"/>
    <row r="525" ht="33" customHeight="1"/>
    <row r="526" ht="33" customHeight="1"/>
    <row r="527" ht="33" customHeight="1"/>
    <row r="528" ht="33" customHeight="1"/>
    <row r="529" ht="33" customHeight="1"/>
    <row r="530" ht="33" customHeight="1"/>
    <row r="531" ht="33" customHeight="1"/>
    <row r="532" ht="33" customHeight="1"/>
    <row r="533" ht="33" customHeight="1"/>
    <row r="534" ht="33" customHeight="1"/>
    <row r="535" ht="33" customHeight="1"/>
    <row r="536" ht="33" customHeight="1"/>
    <row r="537" ht="33" customHeight="1"/>
    <row r="538" ht="33" customHeight="1"/>
    <row r="539" ht="33" customHeight="1"/>
    <row r="540" ht="33" customHeight="1"/>
    <row r="541" ht="33" customHeight="1"/>
    <row r="542" ht="33" customHeight="1"/>
    <row r="543" ht="33" customHeight="1"/>
    <row r="544" ht="33" customHeight="1"/>
    <row r="545" ht="33" customHeight="1"/>
    <row r="546" ht="33" customHeight="1"/>
    <row r="547" ht="33" customHeight="1"/>
    <row r="548" ht="33" customHeight="1"/>
    <row r="549" ht="33" customHeight="1"/>
    <row r="550" ht="33" customHeight="1"/>
    <row r="551" ht="33" customHeight="1"/>
    <row r="552" ht="33" customHeight="1"/>
    <row r="553" ht="33" customHeight="1"/>
    <row r="554" ht="33" customHeight="1"/>
    <row r="555" ht="33" customHeight="1"/>
    <row r="556" ht="33" customHeight="1"/>
    <row r="557" ht="33" customHeight="1"/>
    <row r="558" ht="33" customHeight="1"/>
    <row r="559" ht="33" customHeight="1"/>
    <row r="560" ht="33" customHeight="1"/>
    <row r="561" ht="33" customHeight="1"/>
    <row r="562" ht="33" customHeight="1"/>
    <row r="563" ht="33" customHeight="1"/>
    <row r="564" ht="33" customHeight="1"/>
    <row r="565" ht="33" customHeight="1"/>
    <row r="566" ht="33" customHeight="1"/>
    <row r="567" ht="33" customHeight="1"/>
    <row r="568" ht="33" customHeight="1"/>
    <row r="569" ht="33" customHeight="1"/>
    <row r="570" ht="33" customHeight="1"/>
    <row r="571" ht="33" customHeight="1"/>
    <row r="572" ht="33" customHeight="1"/>
    <row r="573" ht="33" customHeight="1"/>
    <row r="574" ht="33" customHeight="1"/>
    <row r="575" ht="33" customHeight="1"/>
    <row r="576" ht="33" customHeight="1"/>
    <row r="577" ht="33" customHeight="1"/>
    <row r="578" ht="33" customHeight="1"/>
    <row r="579" ht="33" customHeight="1"/>
    <row r="580" ht="33" customHeight="1"/>
    <row r="581" ht="33" customHeight="1"/>
    <row r="582" ht="33" customHeight="1"/>
    <row r="583" ht="33" customHeight="1"/>
    <row r="584" ht="33" customHeight="1"/>
    <row r="585" ht="33" customHeight="1"/>
    <row r="586" ht="33" customHeight="1"/>
    <row r="587" ht="33" customHeight="1"/>
    <row r="588" ht="33" customHeight="1"/>
    <row r="589" ht="33" customHeight="1"/>
    <row r="590" ht="33" customHeight="1"/>
    <row r="591" ht="33" customHeight="1"/>
    <row r="592" ht="33" customHeight="1"/>
    <row r="593" ht="33" customHeight="1"/>
    <row r="594" ht="33" customHeight="1"/>
    <row r="595" ht="33" customHeight="1"/>
    <row r="596" ht="33" customHeight="1"/>
    <row r="597" ht="33" customHeight="1"/>
    <row r="598" ht="33" customHeight="1"/>
    <row r="599" ht="33" customHeight="1"/>
    <row r="600" ht="33" customHeight="1"/>
    <row r="601" ht="33" customHeight="1"/>
    <row r="602" ht="33" customHeight="1"/>
    <row r="603" ht="33" customHeight="1"/>
    <row r="604" ht="33" customHeight="1"/>
    <row r="605" ht="33" customHeight="1"/>
    <row r="606" ht="33" customHeight="1"/>
    <row r="607" ht="33" customHeight="1"/>
    <row r="608" ht="33" customHeight="1"/>
    <row r="609" ht="33" customHeight="1"/>
    <row r="610" ht="33" customHeight="1"/>
    <row r="611" ht="33" customHeight="1"/>
    <row r="612" ht="33" customHeight="1"/>
    <row r="613" ht="33" customHeight="1"/>
    <row r="614" ht="33" customHeight="1"/>
    <row r="615" ht="33" customHeight="1"/>
    <row r="616" ht="33" customHeight="1"/>
    <row r="617" ht="33" customHeight="1"/>
    <row r="618" ht="33" customHeight="1"/>
    <row r="619" ht="33" customHeight="1"/>
    <row r="620" ht="33" customHeight="1"/>
    <row r="621" ht="33" customHeight="1"/>
    <row r="622" ht="33" customHeight="1"/>
    <row r="623" ht="33" customHeight="1"/>
    <row r="624" ht="33" customHeight="1"/>
    <row r="625" ht="33" customHeight="1"/>
    <row r="626" ht="33" customHeight="1"/>
    <row r="627" ht="33" customHeight="1"/>
    <row r="628" ht="33" customHeight="1"/>
    <row r="629" ht="33" customHeight="1"/>
    <row r="630" ht="33" customHeight="1"/>
    <row r="631" ht="33" customHeight="1"/>
    <row r="632" ht="33" customHeight="1"/>
    <row r="633" ht="33" customHeight="1"/>
    <row r="634" ht="33" customHeight="1"/>
    <row r="635" ht="33" customHeight="1"/>
    <row r="636" ht="33" customHeight="1"/>
    <row r="637" ht="33" customHeight="1"/>
    <row r="638" ht="33" customHeight="1"/>
    <row r="639" ht="33" customHeight="1"/>
    <row r="640" ht="33" customHeight="1"/>
    <row r="641" ht="33" customHeight="1"/>
    <row r="642" ht="33" customHeight="1"/>
    <row r="643" ht="33" customHeight="1"/>
    <row r="644" ht="33" customHeight="1"/>
    <row r="645" ht="33" customHeight="1"/>
    <row r="646" ht="33" customHeight="1"/>
    <row r="647" ht="33" customHeight="1"/>
    <row r="648" ht="33" customHeight="1"/>
    <row r="649" ht="33" customHeight="1"/>
    <row r="650" ht="33" customHeight="1"/>
    <row r="651" ht="33" customHeight="1"/>
    <row r="652" ht="33" customHeight="1"/>
    <row r="653" ht="33" customHeight="1"/>
    <row r="654" ht="33" customHeight="1"/>
    <row r="655" ht="33" customHeight="1"/>
    <row r="656" ht="33" customHeight="1"/>
    <row r="657" ht="33" customHeight="1"/>
    <row r="658" ht="33" customHeight="1"/>
    <row r="659" ht="33" customHeight="1"/>
    <row r="660" ht="33" customHeight="1"/>
    <row r="661" ht="33" customHeight="1"/>
    <row r="662" ht="33" customHeight="1"/>
    <row r="663" ht="33" customHeight="1"/>
    <row r="664" ht="33" customHeight="1"/>
    <row r="665" ht="33" customHeight="1"/>
    <row r="666" ht="33" customHeight="1"/>
    <row r="667" ht="33" customHeight="1"/>
    <row r="668" ht="33" customHeight="1"/>
    <row r="669" ht="33" customHeight="1"/>
    <row r="670" ht="33" customHeight="1"/>
    <row r="671" ht="33" customHeight="1"/>
    <row r="672" ht="33" customHeight="1"/>
    <row r="673" ht="33" customHeight="1"/>
    <row r="674" ht="33" customHeight="1"/>
    <row r="675" ht="33" customHeight="1"/>
    <row r="676" ht="33" customHeight="1"/>
    <row r="677" ht="33" customHeight="1"/>
    <row r="678" ht="33" customHeight="1"/>
    <row r="679" ht="33" customHeight="1"/>
    <row r="680" ht="33" customHeight="1"/>
    <row r="681" ht="33" customHeight="1"/>
    <row r="682" ht="33" customHeight="1"/>
    <row r="683" ht="33" customHeight="1"/>
    <row r="684" ht="33" customHeight="1"/>
    <row r="685" ht="33" customHeight="1"/>
    <row r="686" ht="33" customHeight="1"/>
    <row r="687" ht="33" customHeight="1"/>
    <row r="688" ht="33" customHeight="1"/>
    <row r="689" ht="33" customHeight="1"/>
    <row r="690" ht="33" customHeight="1"/>
    <row r="691" ht="33" customHeight="1"/>
    <row r="692" ht="33" customHeight="1"/>
    <row r="693" ht="33" customHeight="1"/>
    <row r="694" ht="33" customHeight="1"/>
    <row r="695" ht="33" customHeight="1"/>
    <row r="696" ht="33" customHeight="1"/>
    <row r="697" ht="33" customHeight="1"/>
    <row r="698" ht="33" customHeight="1"/>
    <row r="699" ht="33" customHeight="1"/>
    <row r="700" ht="33" customHeight="1"/>
    <row r="701" ht="33" customHeight="1"/>
    <row r="702" ht="33" customHeight="1"/>
    <row r="703" ht="33" customHeight="1"/>
    <row r="704" ht="33" customHeight="1"/>
    <row r="705" ht="33" customHeight="1"/>
    <row r="706" ht="33" customHeight="1"/>
    <row r="707" ht="33" customHeight="1"/>
    <row r="708" ht="33" customHeight="1"/>
    <row r="709" ht="33" customHeight="1"/>
    <row r="710" ht="33" customHeight="1"/>
    <row r="711" ht="33" customHeight="1"/>
    <row r="712" ht="33" customHeight="1"/>
    <row r="713" ht="33" customHeight="1"/>
    <row r="714" ht="33" customHeight="1"/>
    <row r="715" ht="33" customHeight="1"/>
    <row r="716" ht="33" customHeight="1"/>
    <row r="717" ht="33" customHeight="1"/>
    <row r="718" ht="33" customHeight="1"/>
    <row r="719" ht="33" customHeight="1"/>
    <row r="720" ht="33" customHeight="1"/>
    <row r="721" ht="33" customHeight="1"/>
    <row r="722" ht="33" customHeight="1"/>
    <row r="723" ht="33" customHeight="1"/>
    <row r="724" ht="33" customHeight="1"/>
    <row r="725" ht="33" customHeight="1"/>
    <row r="726" ht="33" customHeight="1"/>
    <row r="727" ht="33" customHeight="1"/>
    <row r="728" ht="33" customHeight="1"/>
    <row r="729" ht="33" customHeight="1"/>
    <row r="730" ht="33" customHeight="1"/>
    <row r="731" ht="33" customHeight="1"/>
    <row r="732" ht="33" customHeight="1"/>
    <row r="733" ht="33" customHeight="1"/>
    <row r="734" ht="33" customHeight="1"/>
    <row r="735" ht="33" customHeight="1"/>
    <row r="736" ht="33" customHeight="1"/>
    <row r="737" ht="33" customHeight="1"/>
    <row r="738" ht="33" customHeight="1"/>
    <row r="739" ht="33" customHeight="1"/>
    <row r="740" ht="33" customHeight="1"/>
    <row r="741" ht="33" customHeight="1"/>
    <row r="742" ht="33" customHeight="1"/>
    <row r="743" ht="33" customHeight="1"/>
    <row r="744" ht="33" customHeight="1"/>
    <row r="745" ht="33" customHeight="1"/>
    <row r="746" ht="33" customHeight="1"/>
    <row r="747" ht="33" customHeight="1"/>
    <row r="748" ht="33" customHeight="1"/>
    <row r="749" ht="33" customHeight="1"/>
    <row r="750" ht="33" customHeight="1"/>
    <row r="751" ht="33" customHeight="1"/>
    <row r="752" ht="33" customHeight="1"/>
    <row r="753" ht="33" customHeight="1"/>
    <row r="754" ht="33" customHeight="1"/>
    <row r="755" ht="33" customHeight="1"/>
    <row r="756" ht="33" customHeight="1"/>
    <row r="757" ht="33" customHeight="1"/>
    <row r="758" ht="33" customHeight="1"/>
    <row r="759" ht="33" customHeight="1"/>
    <row r="760" ht="33" customHeight="1"/>
    <row r="761" ht="33" customHeight="1"/>
    <row r="762" ht="33" customHeight="1"/>
    <row r="763" ht="33" customHeight="1"/>
    <row r="764" ht="33" customHeight="1"/>
    <row r="765" ht="33" customHeight="1"/>
    <row r="766" ht="33" customHeight="1"/>
    <row r="767" ht="33" customHeight="1"/>
    <row r="768" ht="33" customHeight="1"/>
    <row r="769" ht="33" customHeight="1"/>
    <row r="770" ht="33" customHeight="1"/>
    <row r="771" ht="33" customHeight="1"/>
    <row r="772" ht="33" customHeight="1"/>
    <row r="773" ht="33" customHeight="1"/>
    <row r="774" ht="33" customHeight="1"/>
    <row r="775" ht="33" customHeight="1"/>
    <row r="776" ht="33" customHeight="1"/>
    <row r="777" ht="33" customHeight="1"/>
    <row r="778" ht="33" customHeight="1"/>
    <row r="779" ht="33" customHeight="1"/>
    <row r="780" ht="33" customHeight="1"/>
    <row r="781" ht="33" customHeight="1"/>
    <row r="782" ht="33" customHeight="1"/>
    <row r="783" ht="33" customHeight="1"/>
    <row r="784" ht="33" customHeight="1"/>
    <row r="785" ht="33" customHeight="1"/>
    <row r="786" ht="33" customHeight="1"/>
    <row r="787" ht="33" customHeight="1"/>
    <row r="788" ht="33" customHeight="1"/>
    <row r="789" ht="33" customHeight="1"/>
    <row r="790" ht="33" customHeight="1"/>
    <row r="791" ht="33" customHeight="1"/>
    <row r="792" ht="33" customHeight="1"/>
    <row r="793" ht="33" customHeight="1"/>
    <row r="794" ht="33" customHeight="1"/>
    <row r="795" ht="33" customHeight="1"/>
    <row r="796" ht="33" customHeight="1"/>
    <row r="797" ht="33" customHeight="1"/>
    <row r="798" ht="33" customHeight="1"/>
    <row r="799" ht="33" customHeight="1"/>
    <row r="800" ht="33" customHeight="1"/>
    <row r="801" ht="33" customHeight="1"/>
    <row r="802" ht="33" customHeight="1"/>
    <row r="803" ht="33" customHeight="1"/>
    <row r="804" ht="33" customHeight="1"/>
    <row r="805" ht="33" customHeight="1"/>
    <row r="806" ht="33" customHeight="1"/>
    <row r="807" ht="33" customHeight="1"/>
    <row r="808" ht="33" customHeight="1"/>
    <row r="809" ht="33" customHeight="1"/>
    <row r="810" ht="33" customHeight="1"/>
    <row r="811" ht="33" customHeight="1"/>
    <row r="812" ht="33" customHeight="1"/>
    <row r="813" ht="33" customHeight="1"/>
    <row r="814" ht="33" customHeight="1"/>
    <row r="815" ht="33" customHeight="1"/>
    <row r="816" ht="33" customHeight="1"/>
    <row r="817" ht="33" customHeight="1"/>
    <row r="818" ht="33" customHeight="1"/>
    <row r="819" ht="33" customHeight="1"/>
    <row r="820" ht="33" customHeight="1"/>
    <row r="821" ht="33" customHeight="1"/>
    <row r="822" ht="33" customHeight="1"/>
    <row r="823" ht="33" customHeight="1"/>
    <row r="824" ht="33" customHeight="1"/>
    <row r="825" ht="33" customHeight="1"/>
    <row r="826" ht="33" customHeight="1"/>
    <row r="827" ht="33" customHeight="1"/>
    <row r="828" ht="33" customHeight="1"/>
    <row r="829" ht="33" customHeight="1"/>
    <row r="830" ht="33" customHeight="1"/>
    <row r="831" ht="33" customHeight="1"/>
    <row r="832" ht="33" customHeight="1"/>
    <row r="833" ht="33" customHeight="1"/>
    <row r="834" ht="33" customHeight="1"/>
    <row r="835" ht="33" customHeight="1"/>
    <row r="836" ht="33" customHeight="1"/>
    <row r="837" ht="33" customHeight="1"/>
    <row r="838" ht="33" customHeight="1"/>
    <row r="839" ht="33" customHeight="1"/>
    <row r="840" ht="33" customHeight="1"/>
    <row r="841" ht="33" customHeight="1"/>
    <row r="842" ht="33" customHeight="1"/>
    <row r="843" ht="33" customHeight="1"/>
    <row r="844" ht="33" customHeight="1"/>
    <row r="845" ht="33" customHeight="1"/>
    <row r="846" ht="33" customHeight="1"/>
    <row r="847" ht="33" customHeight="1"/>
    <row r="848" ht="33" customHeight="1"/>
    <row r="849" ht="33" customHeight="1"/>
    <row r="850" ht="33" customHeight="1"/>
    <row r="851" ht="33" customHeight="1"/>
    <row r="852" ht="33" customHeight="1"/>
    <row r="853" ht="33" customHeight="1"/>
    <row r="854" ht="33" customHeight="1"/>
    <row r="855" ht="33" customHeight="1"/>
    <row r="856" ht="33" customHeight="1"/>
    <row r="857" ht="33" customHeight="1"/>
    <row r="858" ht="33" customHeight="1"/>
    <row r="859" ht="33" customHeight="1"/>
    <row r="860" ht="33" customHeight="1"/>
    <row r="861" ht="33" customHeight="1"/>
    <row r="862" ht="33" customHeight="1"/>
    <row r="863" ht="33" customHeight="1"/>
    <row r="864" ht="33" customHeight="1"/>
    <row r="865" ht="33" customHeight="1"/>
    <row r="866" ht="33" customHeight="1"/>
    <row r="867" ht="33" customHeight="1"/>
    <row r="868" ht="33" customHeight="1"/>
    <row r="869" ht="33" customHeight="1"/>
    <row r="870" ht="33" customHeight="1"/>
    <row r="871" ht="33" customHeight="1"/>
    <row r="872" ht="33" customHeight="1"/>
    <row r="873" ht="33" customHeight="1"/>
    <row r="874" ht="33" customHeight="1"/>
    <row r="875" ht="33" customHeight="1"/>
    <row r="876" ht="33" customHeight="1"/>
    <row r="877" ht="33" customHeight="1"/>
    <row r="878" ht="33" customHeight="1"/>
    <row r="879" ht="33" customHeight="1"/>
    <row r="880" ht="33" customHeight="1"/>
    <row r="881" ht="33" customHeight="1"/>
    <row r="882" ht="33" customHeight="1"/>
    <row r="883" ht="33" customHeight="1"/>
    <row r="884" ht="33" customHeight="1"/>
    <row r="885" ht="33" customHeight="1"/>
    <row r="886" ht="33" customHeight="1"/>
    <row r="887" ht="33" customHeight="1"/>
    <row r="888" ht="33" customHeight="1"/>
    <row r="889" ht="33" customHeight="1"/>
    <row r="890" ht="33" customHeight="1"/>
    <row r="891" ht="33" customHeight="1"/>
    <row r="892" ht="33" customHeight="1"/>
    <row r="893" ht="33" customHeight="1"/>
    <row r="894" ht="33" customHeight="1"/>
    <row r="895" ht="33" customHeight="1"/>
    <row r="896" ht="33" customHeight="1"/>
    <row r="897" ht="33" customHeight="1"/>
    <row r="898" ht="33" customHeight="1"/>
    <row r="899" ht="33" customHeight="1"/>
    <row r="900" ht="33" customHeight="1"/>
    <row r="901" ht="33" customHeight="1"/>
    <row r="902" ht="33" customHeight="1"/>
    <row r="903" ht="33" customHeight="1"/>
    <row r="904" ht="33" customHeight="1"/>
    <row r="905" ht="33" customHeight="1"/>
    <row r="906" ht="33" customHeight="1"/>
    <row r="907" ht="33" customHeight="1"/>
    <row r="908" ht="33" customHeight="1"/>
    <row r="909" ht="33" customHeight="1"/>
    <row r="910" ht="33" customHeight="1"/>
    <row r="911" ht="33" customHeight="1"/>
    <row r="912" ht="33" customHeight="1"/>
    <row r="913" ht="33" customHeight="1"/>
    <row r="914" ht="33" customHeight="1"/>
    <row r="915" ht="33" customHeight="1"/>
    <row r="916" ht="33" customHeight="1"/>
    <row r="917" ht="33" customHeight="1"/>
    <row r="918" ht="33" customHeight="1"/>
    <row r="919" ht="33" customHeight="1"/>
    <row r="920" ht="33" customHeight="1"/>
    <row r="921" ht="33" customHeight="1"/>
    <row r="922" ht="33" customHeight="1"/>
    <row r="923" ht="33" customHeight="1"/>
    <row r="924" ht="33" customHeight="1"/>
    <row r="925" ht="33" customHeight="1"/>
    <row r="926" ht="33" customHeight="1"/>
    <row r="927" ht="33" customHeight="1"/>
    <row r="928" ht="33" customHeight="1"/>
    <row r="929" ht="33" customHeight="1"/>
    <row r="930" ht="33" customHeight="1"/>
    <row r="931" ht="33" customHeight="1"/>
    <row r="932" ht="33" customHeight="1"/>
    <row r="933" ht="33" customHeight="1"/>
    <row r="934" ht="33" customHeight="1"/>
    <row r="935" ht="33" customHeight="1"/>
    <row r="936" ht="33" customHeight="1"/>
    <row r="937" ht="33" customHeight="1"/>
    <row r="938" ht="33" customHeight="1"/>
    <row r="939" ht="33" customHeight="1"/>
    <row r="940" ht="33" customHeight="1"/>
    <row r="941" ht="33" customHeight="1"/>
    <row r="942" ht="33" customHeight="1"/>
    <row r="943" ht="33" customHeight="1"/>
    <row r="944" ht="33" customHeight="1"/>
    <row r="945" ht="33" customHeight="1"/>
    <row r="946" ht="33" customHeight="1"/>
    <row r="947" ht="33" customHeight="1"/>
    <row r="948" ht="33" customHeight="1"/>
    <row r="949" ht="33" customHeight="1"/>
    <row r="950" ht="33" customHeight="1"/>
    <row r="951" ht="33" customHeight="1"/>
    <row r="952" ht="33" customHeight="1"/>
    <row r="953" ht="33" customHeight="1"/>
    <row r="954" ht="33" customHeight="1"/>
    <row r="955" ht="33" customHeight="1"/>
    <row r="956" ht="33" customHeight="1"/>
    <row r="957" ht="33" customHeight="1"/>
    <row r="958" ht="33" customHeight="1"/>
    <row r="959" ht="33" customHeight="1"/>
    <row r="960" ht="33" customHeight="1"/>
    <row r="961" ht="33" customHeight="1"/>
    <row r="962" ht="33" customHeight="1"/>
    <row r="963" ht="33" customHeight="1"/>
    <row r="964" ht="33" customHeight="1"/>
    <row r="965" ht="33" customHeight="1"/>
    <row r="966" ht="33" customHeight="1"/>
    <row r="967" ht="33" customHeight="1"/>
    <row r="968" ht="33" customHeight="1"/>
    <row r="969" ht="33" customHeight="1"/>
    <row r="970" ht="33" customHeight="1"/>
    <row r="971" ht="33" customHeight="1"/>
    <row r="972" ht="33" customHeight="1"/>
    <row r="973" ht="33" customHeight="1"/>
    <row r="974" ht="33" customHeight="1"/>
    <row r="975" ht="33" customHeight="1"/>
    <row r="976" ht="33" customHeight="1"/>
    <row r="977" ht="33" customHeight="1"/>
    <row r="978" ht="33" customHeight="1"/>
    <row r="979" ht="33" customHeight="1"/>
    <row r="980" ht="33" customHeight="1"/>
    <row r="981" ht="33" customHeight="1"/>
    <row r="982" ht="33" customHeight="1"/>
    <row r="983" ht="33" customHeight="1"/>
    <row r="984" ht="33" customHeight="1"/>
    <row r="985" ht="33" customHeight="1"/>
    <row r="986" ht="33" customHeight="1"/>
    <row r="987" ht="33" customHeight="1"/>
    <row r="988" ht="33" customHeight="1"/>
    <row r="989" ht="33" customHeight="1"/>
    <row r="990" ht="33" customHeight="1"/>
    <row r="991" ht="33" customHeight="1"/>
    <row r="992" ht="33" customHeight="1"/>
    <row r="993" ht="33" customHeight="1"/>
    <row r="994" ht="33" customHeight="1"/>
    <row r="995" ht="33" customHeight="1"/>
    <row r="996" ht="33" customHeight="1"/>
    <row r="997" ht="33" customHeight="1"/>
    <row r="998" ht="33" customHeight="1"/>
    <row r="999" ht="33" customHeight="1"/>
    <row r="1000" ht="33" customHeight="1"/>
    <row r="1001" ht="33" customHeight="1"/>
  </sheetData>
  <mergeCells count="111">
    <mergeCell ref="F1:J1"/>
    <mergeCell ref="K1:L1"/>
    <mergeCell ref="M1:Q1"/>
    <mergeCell ref="AK1:AN1"/>
    <mergeCell ref="F2:L2"/>
    <mergeCell ref="M2:O2"/>
    <mergeCell ref="P2:Q2"/>
    <mergeCell ref="B4:AC4"/>
    <mergeCell ref="AE6:AH6"/>
    <mergeCell ref="AE22:AH22"/>
    <mergeCell ref="AK29:AN29"/>
    <mergeCell ref="A36:I36"/>
    <mergeCell ref="O36:R36"/>
    <mergeCell ref="S36:V36"/>
    <mergeCell ref="Z36:AE36"/>
    <mergeCell ref="AF36:AG36"/>
    <mergeCell ref="D37:E37"/>
    <mergeCell ref="F37:G37"/>
    <mergeCell ref="H37:I37"/>
    <mergeCell ref="L37:N37"/>
    <mergeCell ref="O37:P37"/>
    <mergeCell ref="Q37:R37"/>
    <mergeCell ref="S37:T37"/>
    <mergeCell ref="U37:V37"/>
    <mergeCell ref="Z37:AE37"/>
    <mergeCell ref="AF37:AG37"/>
    <mergeCell ref="Z38:AE38"/>
    <mergeCell ref="AF38:AG38"/>
    <mergeCell ref="A39:C39"/>
    <mergeCell ref="D39:E39"/>
    <mergeCell ref="F39:G39"/>
    <mergeCell ref="H39:I39"/>
    <mergeCell ref="L39:N39"/>
    <mergeCell ref="O39:P39"/>
    <mergeCell ref="Q39:R39"/>
    <mergeCell ref="S39:T39"/>
    <mergeCell ref="U39:V39"/>
    <mergeCell ref="Z39:AE39"/>
    <mergeCell ref="AF39:AG39"/>
    <mergeCell ref="A38:C38"/>
    <mergeCell ref="D38:E38"/>
    <mergeCell ref="F38:G38"/>
    <mergeCell ref="H38:I38"/>
    <mergeCell ref="L38:N38"/>
    <mergeCell ref="O38:P38"/>
    <mergeCell ref="Q38:R38"/>
    <mergeCell ref="S38:T38"/>
    <mergeCell ref="U38:V38"/>
    <mergeCell ref="O41:P41"/>
    <mergeCell ref="Q41:R41"/>
    <mergeCell ref="S41:T41"/>
    <mergeCell ref="U41:V41"/>
    <mergeCell ref="Z41:AE41"/>
    <mergeCell ref="AF41:AG41"/>
    <mergeCell ref="A40:C40"/>
    <mergeCell ref="D40:E40"/>
    <mergeCell ref="F40:G40"/>
    <mergeCell ref="H40:I40"/>
    <mergeCell ref="L40:N40"/>
    <mergeCell ref="O40:P40"/>
    <mergeCell ref="Q40:R40"/>
    <mergeCell ref="S40:T40"/>
    <mergeCell ref="U40:V40"/>
    <mergeCell ref="A5:A6"/>
    <mergeCell ref="A21:A22"/>
    <mergeCell ref="C47:D47"/>
    <mergeCell ref="H47:I47"/>
    <mergeCell ref="B20:AC20"/>
    <mergeCell ref="O47:R47"/>
    <mergeCell ref="S47:U47"/>
    <mergeCell ref="V47:X47"/>
    <mergeCell ref="C48:D48"/>
    <mergeCell ref="H48:I48"/>
    <mergeCell ref="S48:U48"/>
    <mergeCell ref="V48:X48"/>
    <mergeCell ref="C45:D45"/>
    <mergeCell ref="H45:I45"/>
    <mergeCell ref="O45:R45"/>
    <mergeCell ref="S45:U45"/>
    <mergeCell ref="V45:X45"/>
    <mergeCell ref="C46:D46"/>
    <mergeCell ref="H46:I46"/>
    <mergeCell ref="O46:R46"/>
    <mergeCell ref="S46:U46"/>
    <mergeCell ref="V46:X46"/>
    <mergeCell ref="O42:P42"/>
    <mergeCell ref="Q42:R42"/>
    <mergeCell ref="AP1:AS1"/>
    <mergeCell ref="C49:D49"/>
    <mergeCell ref="H49:I49"/>
    <mergeCell ref="C50:D50"/>
    <mergeCell ref="H50:I50"/>
    <mergeCell ref="E122:H122"/>
    <mergeCell ref="E123:K123"/>
    <mergeCell ref="E124:G124"/>
    <mergeCell ref="I124:K124"/>
    <mergeCell ref="S42:T42"/>
    <mergeCell ref="U42:V42"/>
    <mergeCell ref="Z42:AE42"/>
    <mergeCell ref="AF42:AG42"/>
    <mergeCell ref="AF43:AG43"/>
    <mergeCell ref="C44:F44"/>
    <mergeCell ref="H44:K44"/>
    <mergeCell ref="O44:X44"/>
    <mergeCell ref="Z40:AE40"/>
    <mergeCell ref="AF40:AG40"/>
    <mergeCell ref="A41:C41"/>
    <mergeCell ref="D41:E41"/>
    <mergeCell ref="F41:G41"/>
    <mergeCell ref="H41:I41"/>
    <mergeCell ref="L41:N41"/>
  </mergeCells>
  <pageMargins left="0.70866141732283505" right="0.70866141732283505" top="0.74803149606299202" bottom="0.74803149606299202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001"/>
  <sheetViews>
    <sheetView zoomScale="85" zoomScaleNormal="85" workbookViewId="0">
      <selection activeCell="F4" sqref="F4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4.6640625" customWidth="1"/>
    <col min="4" max="4" width="15.44140625" customWidth="1"/>
  </cols>
  <sheetData>
    <row r="1" spans="1:23" ht="14.4">
      <c r="A1" s="2" t="s">
        <v>66</v>
      </c>
      <c r="B1" s="2"/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2"/>
      <c r="B2" s="15"/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2"/>
      <c r="B3" s="423"/>
      <c r="C3" s="424"/>
      <c r="D3" s="1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4">
      <c r="A4" s="2"/>
      <c r="B4" s="1"/>
      <c r="C4" s="425" t="s">
        <v>67</v>
      </c>
      <c r="D4" s="42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9.5" customHeight="1">
      <c r="A5" s="2"/>
      <c r="B5" s="22"/>
      <c r="C5" s="122"/>
      <c r="D5" s="123" cm="1">
        <f t="array" ref="D5:E5">+'DOMINGO 12'!P2:Q2</f>
        <v>890</v>
      </c>
      <c r="E5" s="2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hidden="1" customHeight="1">
      <c r="A6" s="27"/>
      <c r="B6" s="3">
        <v>45758</v>
      </c>
      <c r="C6" s="4"/>
      <c r="D6" s="2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>
      <c r="A7" s="2"/>
      <c r="B7" s="124">
        <f>'DOMINGO 12'!F1</f>
        <v>46243</v>
      </c>
      <c r="C7" s="3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>
      <c r="A8" s="2"/>
      <c r="B8" s="125" t="s">
        <v>68</v>
      </c>
      <c r="C8" s="126">
        <f>'DOMINGO 12'!AF36</f>
        <v>39</v>
      </c>
      <c r="D8" s="1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>
      <c r="A9" s="2"/>
      <c r="B9" s="40" t="s">
        <v>69</v>
      </c>
      <c r="C9" s="128">
        <f>'DOMINGO 12'!AF37*'DOMINGO 12'!P2</f>
        <v>464580</v>
      </c>
      <c r="D9" s="129">
        <f>+C9/D5</f>
        <v>522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>
      <c r="A10" s="2"/>
      <c r="B10" s="40" t="s">
        <v>70</v>
      </c>
      <c r="C10" s="128">
        <f>+'DOMINGO 12'!AF38*'CIERRE DOMINGO'!D5</f>
        <v>0</v>
      </c>
      <c r="D10" s="129">
        <f>C10/D5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>
      <c r="A11" s="2"/>
      <c r="B11" s="40" t="s">
        <v>71</v>
      </c>
      <c r="C11" s="128">
        <f>'DOMINGO 12'!AF40*'DOMINGO 12'!P2</f>
        <v>24297</v>
      </c>
      <c r="D11" s="129">
        <f>+C11/D5</f>
        <v>27.3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>
      <c r="A12" s="2"/>
      <c r="B12" s="47" t="s">
        <v>43</v>
      </c>
      <c r="C12" s="130">
        <f>+'DOMINGO 12'!AF39*'CIERRE DOMINGO'!D5</f>
        <v>0</v>
      </c>
      <c r="D12" s="131">
        <f>C12/D5</f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>
      <c r="A13" s="2"/>
      <c r="B13" s="40"/>
      <c r="C13" s="128"/>
      <c r="D13" s="129">
        <f>+C13/D5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>
      <c r="A14" s="2"/>
      <c r="B14" s="40"/>
      <c r="C14" s="128"/>
      <c r="D14" s="1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>
      <c r="A15" s="2"/>
      <c r="B15" s="40" t="s">
        <v>72</v>
      </c>
      <c r="C15" s="128">
        <f>SUM(C9:C14)</f>
        <v>488877</v>
      </c>
      <c r="D15" s="129">
        <f>+C15/D5</f>
        <v>549.29999999999995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2.25" customHeight="1">
      <c r="A16" s="2"/>
      <c r="B16" s="11"/>
      <c r="C16" s="11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25" customHeight="1">
      <c r="A17" s="2"/>
      <c r="B17" s="444" t="s">
        <v>73</v>
      </c>
      <c r="C17" s="445"/>
      <c r="D17" s="44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.75" customHeight="1">
      <c r="A18" s="2"/>
      <c r="B18" s="52" t="s">
        <v>74</v>
      </c>
      <c r="C18" s="53" t="s">
        <v>75</v>
      </c>
      <c r="D18" s="54" t="s">
        <v>76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>
      <c r="A19" s="2"/>
      <c r="B19" s="55" t="s">
        <v>77</v>
      </c>
      <c r="C19" s="132">
        <f>'DOMINGO 12'!S47</f>
        <v>251</v>
      </c>
      <c r="D19" s="133">
        <f>+C19</f>
        <v>251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>
      <c r="A20" s="2"/>
      <c r="B20" s="55" t="s">
        <v>78</v>
      </c>
      <c r="C20" s="132">
        <f>'DOMINGO 12'!S45</f>
        <v>1780</v>
      </c>
      <c r="D20" s="133">
        <f>+C20/D5</f>
        <v>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>
      <c r="A21" s="2"/>
      <c r="B21" s="55" t="s">
        <v>79</v>
      </c>
      <c r="C21" s="132">
        <f>'DOMINGO 12'!S46</f>
        <v>258367</v>
      </c>
      <c r="D21" s="133">
        <f>+C21/D5</f>
        <v>290.3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2"/>
      <c r="B22" s="55" t="s">
        <v>80</v>
      </c>
      <c r="C22" s="132"/>
      <c r="D22" s="13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>
      <c r="A23" s="2"/>
      <c r="B23" s="62" t="s">
        <v>81</v>
      </c>
      <c r="C23" s="134">
        <f>+C19</f>
        <v>251</v>
      </c>
      <c r="D23" s="135">
        <f>SUM(D19:D22)</f>
        <v>543.29999999999995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>
      <c r="A24" s="2"/>
      <c r="B24" s="51" t="s">
        <v>49</v>
      </c>
      <c r="C24" s="64">
        <f>+C20</f>
        <v>1780</v>
      </c>
      <c r="D24" s="65">
        <f>D23-D15</f>
        <v>-6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>
      <c r="A25" s="2"/>
      <c r="B25" s="66"/>
      <c r="C25" s="51"/>
      <c r="D25" s="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>
      <c r="A26" s="2"/>
      <c r="B26" s="67" t="s">
        <v>82</v>
      </c>
      <c r="C26" s="68" t="s">
        <v>83</v>
      </c>
      <c r="D26" s="68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>
      <c r="A27" s="2"/>
      <c r="B27" s="69"/>
      <c r="C27" s="69"/>
      <c r="D27" s="6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>
      <c r="A28" s="2"/>
      <c r="B28" s="69"/>
      <c r="C28" s="69"/>
      <c r="D28" s="6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>
      <c r="A29" s="2"/>
      <c r="B29" s="69"/>
      <c r="C29" s="69"/>
      <c r="D29" s="6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>
      <c r="A30" s="2"/>
      <c r="B30" s="69"/>
      <c r="C30" s="69"/>
      <c r="D30" s="6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>
      <c r="A31" s="2"/>
      <c r="B31" s="69"/>
      <c r="C31" s="69"/>
      <c r="D31" s="7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>
      <c r="A32" s="2"/>
      <c r="B32" s="66"/>
      <c r="C32" s="73">
        <f t="shared" ref="C32:D32" si="0">SUM(C27:C31)</f>
        <v>0</v>
      </c>
      <c r="D32" s="73">
        <f t="shared" si="0"/>
        <v>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>
      <c r="A33" s="2"/>
      <c r="B33" s="66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21" customFormat="1" ht="15.75" customHeight="1">
      <c r="A34" s="136"/>
      <c r="B34" s="137" t="s">
        <v>85</v>
      </c>
      <c r="C34" s="138">
        <f>+C24</f>
        <v>1780</v>
      </c>
      <c r="D34" s="139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spans="1:23" s="121" customFormat="1" ht="15.75" customHeight="1">
      <c r="A35" s="136"/>
      <c r="B35" s="140" t="s">
        <v>86</v>
      </c>
      <c r="C35" s="141">
        <f>+C23</f>
        <v>251</v>
      </c>
      <c r="D35" s="142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</row>
    <row r="36" spans="1:23" s="121" customFormat="1" ht="15.75" customHeight="1">
      <c r="A36" s="136"/>
      <c r="B36" s="140" t="s">
        <v>87</v>
      </c>
      <c r="C36" s="141">
        <f>+C32</f>
        <v>0</v>
      </c>
      <c r="D36" s="142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</row>
    <row r="37" spans="1:23" s="121" customFormat="1" ht="15.75" customHeight="1">
      <c r="A37" s="136"/>
      <c r="B37" s="137" t="s">
        <v>88</v>
      </c>
      <c r="C37" s="141">
        <f>+D32</f>
        <v>0</v>
      </c>
      <c r="D37" s="142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</row>
    <row r="38" spans="1:23" s="121" customFormat="1" ht="15.75" customHeight="1">
      <c r="A38" s="136"/>
      <c r="B38" s="143" t="s">
        <v>89</v>
      </c>
      <c r="C38" s="144">
        <f>+C35-C37</f>
        <v>251</v>
      </c>
      <c r="D38" s="142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</row>
    <row r="39" spans="1:23" s="121" customFormat="1" ht="15.75" customHeight="1">
      <c r="A39" s="136"/>
      <c r="B39" s="145" t="s">
        <v>90</v>
      </c>
      <c r="C39" s="146">
        <f>+C34-C36</f>
        <v>1780</v>
      </c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2"/>
      <c r="B41" s="430" t="s">
        <v>91</v>
      </c>
      <c r="C41" s="431"/>
      <c r="D41" s="43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2"/>
      <c r="B42" s="433"/>
      <c r="C42" s="434"/>
      <c r="D42" s="43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>
      <c r="A43" s="2"/>
      <c r="B43" s="433"/>
      <c r="C43" s="434"/>
      <c r="D43" s="43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>
      <c r="A44" s="2"/>
      <c r="B44" s="436"/>
      <c r="C44" s="437"/>
      <c r="D44" s="43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</sheetData>
  <mergeCells count="4">
    <mergeCell ref="B3:C3"/>
    <mergeCell ref="C4:D4"/>
    <mergeCell ref="B17:D17"/>
    <mergeCell ref="B41:D44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1000"/>
  <sheetViews>
    <sheetView workbookViewId="0"/>
  </sheetViews>
  <sheetFormatPr baseColWidth="10" defaultColWidth="14.44140625" defaultRowHeight="15" customHeight="1"/>
  <cols>
    <col min="1" max="1" width="14" customWidth="1"/>
    <col min="2" max="2" width="18.5546875" customWidth="1"/>
    <col min="3" max="3" width="12.5546875" customWidth="1"/>
    <col min="4" max="4" width="29.109375" customWidth="1"/>
    <col min="5" max="5" width="9.5546875" customWidth="1"/>
    <col min="6" max="6" width="15" customWidth="1"/>
    <col min="7" max="7" width="14.33203125" customWidth="1"/>
    <col min="8" max="8" width="22.88671875" customWidth="1"/>
    <col min="9" max="26" width="11" customWidth="1"/>
  </cols>
  <sheetData>
    <row r="2" spans="1:12" ht="36.6">
      <c r="B2" s="81" t="s">
        <v>126</v>
      </c>
      <c r="G2" s="2" t="s">
        <v>127</v>
      </c>
      <c r="H2" s="2">
        <v>64</v>
      </c>
    </row>
    <row r="4" spans="1:12" ht="18">
      <c r="B4" s="82" t="s">
        <v>128</v>
      </c>
      <c r="C4" s="83" t="s">
        <v>129</v>
      </c>
      <c r="D4" s="83" t="s">
        <v>38</v>
      </c>
      <c r="E4" s="83" t="s">
        <v>130</v>
      </c>
      <c r="F4" s="83" t="s">
        <v>46</v>
      </c>
      <c r="G4" s="84" t="s">
        <v>56</v>
      </c>
      <c r="H4" s="84" t="s">
        <v>50</v>
      </c>
    </row>
    <row r="5" spans="1:12" ht="28.5" customHeight="1">
      <c r="A5" s="85"/>
      <c r="B5" s="86" t="s">
        <v>131</v>
      </c>
      <c r="C5" s="87">
        <f>LUNES!I98</f>
        <v>25</v>
      </c>
      <c r="D5" s="88" t="e">
        <f>LUNES!I99</f>
        <v>#REF!</v>
      </c>
      <c r="E5" s="89">
        <f>LUNES!AC96+LUNES!AH96</f>
        <v>55</v>
      </c>
      <c r="F5" s="89">
        <f>LUNES!AC91+LUNES!AH91</f>
        <v>0</v>
      </c>
      <c r="G5" s="89">
        <f>LUNES!AC93+LUNES!AH93</f>
        <v>0</v>
      </c>
      <c r="H5" s="89">
        <f>LUNES!AC92+LUNES!AH92</f>
        <v>112000</v>
      </c>
    </row>
    <row r="6" spans="1:12" ht="28.5" customHeight="1">
      <c r="A6" s="85"/>
      <c r="B6" s="86" t="s">
        <v>132</v>
      </c>
      <c r="C6" s="87">
        <f>LUNES!R36</f>
        <v>0</v>
      </c>
      <c r="D6" s="87">
        <f>LUNES!R37</f>
        <v>0</v>
      </c>
      <c r="E6" s="89">
        <f>MARTES!AA41+MARTES!AF41</f>
        <v>341.5</v>
      </c>
      <c r="F6" s="89">
        <f>MARTES!AA36+MARTES!AF36</f>
        <v>25</v>
      </c>
      <c r="G6" s="89">
        <f>MARTES!AA38+MARTES!AF38</f>
        <v>0</v>
      </c>
      <c r="H6" s="89">
        <f>MARTES!AA37+MARTES!AF37</f>
        <v>324</v>
      </c>
    </row>
    <row r="7" spans="1:12" ht="28.5" customHeight="1">
      <c r="A7" s="85"/>
      <c r="B7" s="86" t="s">
        <v>133</v>
      </c>
      <c r="C7" s="87" t="e">
        <f>#REF!</f>
        <v>#REF!</v>
      </c>
      <c r="D7" s="88" t="e">
        <f>#REF!</f>
        <v>#REF!</v>
      </c>
      <c r="E7" s="89" t="e">
        <f>#REF!+#REF!</f>
        <v>#REF!</v>
      </c>
      <c r="F7" s="89" t="e">
        <f>#REF!+#REF!</f>
        <v>#REF!</v>
      </c>
      <c r="G7" s="89" t="e">
        <f>#REF!+#REF!</f>
        <v>#REF!</v>
      </c>
      <c r="H7" s="89" t="e">
        <f>#REF!+#REF!</f>
        <v>#REF!</v>
      </c>
    </row>
    <row r="8" spans="1:12" ht="28.5" customHeight="1">
      <c r="A8" s="85"/>
      <c r="B8" s="86" t="s">
        <v>134</v>
      </c>
      <c r="C8" s="87" t="e">
        <f>#REF!</f>
        <v>#REF!</v>
      </c>
      <c r="D8" s="87" t="e">
        <f>#REF!</f>
        <v>#REF!</v>
      </c>
      <c r="E8" s="89" t="e">
        <f>#REF!+#REF!</f>
        <v>#REF!</v>
      </c>
      <c r="F8" s="89" t="e">
        <f>#REF!+#REF!</f>
        <v>#REF!</v>
      </c>
      <c r="G8" s="89" t="e">
        <f>#REF!+#REF!</f>
        <v>#REF!</v>
      </c>
      <c r="H8" s="90" t="e">
        <f>#REF!+#REF!</f>
        <v>#REF!</v>
      </c>
    </row>
    <row r="9" spans="1:12" ht="28.5" customHeight="1">
      <c r="A9" s="85"/>
      <c r="B9" s="86" t="s">
        <v>135</v>
      </c>
      <c r="C9" s="87" t="e">
        <f>#REF!</f>
        <v>#REF!</v>
      </c>
      <c r="D9" s="88" t="e">
        <f>#REF!</f>
        <v>#REF!</v>
      </c>
      <c r="E9" s="89" t="e">
        <f>#REF!+#REF!</f>
        <v>#REF!</v>
      </c>
      <c r="F9" s="89" t="e">
        <f>#REF!+#REF!</f>
        <v>#REF!</v>
      </c>
      <c r="G9" s="89" t="e">
        <f>#REF!+#REF!</f>
        <v>#REF!</v>
      </c>
      <c r="H9" s="89" t="e">
        <f>#REF!+#REF!</f>
        <v>#REF!</v>
      </c>
      <c r="I9" s="91" t="e">
        <f>SUM(H5:H9)+SUM(G5:G9)</f>
        <v>#REF!</v>
      </c>
      <c r="K9" s="92"/>
      <c r="L9" s="92"/>
    </row>
    <row r="10" spans="1:12" ht="28.5" customHeight="1">
      <c r="A10" s="93"/>
      <c r="B10" s="86" t="s">
        <v>136</v>
      </c>
      <c r="C10" s="94" t="e">
        <f>#REF!</f>
        <v>#REF!</v>
      </c>
      <c r="D10" s="95" t="e">
        <f>#REF!</f>
        <v>#REF!</v>
      </c>
      <c r="E10" s="91" t="e">
        <f>#REF!+#REF!</f>
        <v>#REF!</v>
      </c>
      <c r="F10" s="91" t="e">
        <f>#REF!+#REF!</f>
        <v>#REF!</v>
      </c>
      <c r="G10" s="91" t="e">
        <f>#REF!+#REF!</f>
        <v>#REF!</v>
      </c>
      <c r="H10" s="96" t="e">
        <f>#REF!+#REF!</f>
        <v>#REF!</v>
      </c>
    </row>
    <row r="11" spans="1:12" ht="28.5" customHeight="1">
      <c r="A11" s="93"/>
      <c r="B11" s="86" t="s">
        <v>137</v>
      </c>
      <c r="C11" s="94">
        <f>'DOMINGO 12'!G43</f>
        <v>0</v>
      </c>
      <c r="D11" s="95">
        <f>'DOMINGO 12'!G44</f>
        <v>0</v>
      </c>
      <c r="E11" s="91">
        <f>'DOMINGO 12'!AA41+'DOMINGO 12'!AF41</f>
        <v>549.29999999999995</v>
      </c>
      <c r="F11" s="91">
        <f>'DOMINGO 12'!AA36+'DOMINGO 12'!AF36</f>
        <v>39</v>
      </c>
      <c r="G11" s="91">
        <f>'DOMINGO 12'!AA38+'DOMINGO 12'!AF38</f>
        <v>0</v>
      </c>
      <c r="H11" s="97">
        <f>'DOMINGO 12'!AA37+'DOMINGO 12'!AF37</f>
        <v>522</v>
      </c>
      <c r="I11" s="97" t="e">
        <f>SUM(G10:G11:H10:H11)</f>
        <v>#REF!</v>
      </c>
    </row>
    <row r="12" spans="1:12" ht="28.5" customHeight="1">
      <c r="B12" s="98"/>
      <c r="C12" s="2"/>
      <c r="D12" s="2"/>
      <c r="E12" s="2"/>
      <c r="F12" s="99" t="e">
        <f t="shared" ref="F12:H12" si="0">SUM(F5:F11)</f>
        <v>#REF!</v>
      </c>
      <c r="G12" s="99" t="e">
        <f t="shared" si="0"/>
        <v>#REF!</v>
      </c>
      <c r="H12" s="99" t="e">
        <f t="shared" si="0"/>
        <v>#REF!</v>
      </c>
    </row>
    <row r="13" spans="1:12" ht="28.5" customHeight="1">
      <c r="B13" s="100" t="s">
        <v>138</v>
      </c>
      <c r="C13" s="101" t="e">
        <f t="shared" ref="C13:E13" si="1">SUM(C5:C11)</f>
        <v>#REF!</v>
      </c>
      <c r="D13" s="102" t="e">
        <f t="shared" si="1"/>
        <v>#REF!</v>
      </c>
      <c r="E13" s="102" t="e">
        <f t="shared" si="1"/>
        <v>#REF!</v>
      </c>
      <c r="F13" s="102" t="e">
        <f>F12/H2</f>
        <v>#REF!</v>
      </c>
      <c r="G13" s="102" t="e">
        <f>G12/H2</f>
        <v>#REF!</v>
      </c>
      <c r="H13" s="102" t="e">
        <f>H12/H2</f>
        <v>#REF!</v>
      </c>
      <c r="I13" s="103" t="e">
        <f>SUM(E13:H13)</f>
        <v>#REF!</v>
      </c>
    </row>
    <row r="17" spans="1:9" ht="36.6">
      <c r="B17" s="81" t="s">
        <v>3</v>
      </c>
      <c r="C17" s="104"/>
      <c r="H17" s="2"/>
    </row>
    <row r="18" spans="1:9" ht="14.4">
      <c r="H18" s="2"/>
    </row>
    <row r="19" spans="1:9" ht="48" customHeight="1">
      <c r="B19" s="105" t="s">
        <v>139</v>
      </c>
      <c r="C19" s="512" t="s">
        <v>38</v>
      </c>
      <c r="D19" s="315"/>
      <c r="E19" s="2"/>
      <c r="F19" s="2"/>
      <c r="G19" s="106"/>
      <c r="H19" s="2"/>
    </row>
    <row r="20" spans="1:9" ht="18">
      <c r="A20" s="85"/>
      <c r="B20" s="107" t="s">
        <v>131</v>
      </c>
      <c r="C20" s="511">
        <f>LUNES!I100</f>
        <v>3.5</v>
      </c>
      <c r="D20" s="315"/>
      <c r="E20" s="2"/>
      <c r="F20" s="12"/>
      <c r="G20" s="12"/>
      <c r="H20" s="2"/>
    </row>
    <row r="21" spans="1:9" ht="15.75" customHeight="1">
      <c r="A21" s="85"/>
      <c r="B21" s="107" t="s">
        <v>132</v>
      </c>
      <c r="C21" s="511">
        <f>LUNES!R38</f>
        <v>0</v>
      </c>
      <c r="D21" s="315"/>
      <c r="E21" s="2"/>
      <c r="F21" s="12"/>
      <c r="G21" s="12"/>
      <c r="H21" s="2"/>
    </row>
    <row r="22" spans="1:9" ht="15.75" customHeight="1">
      <c r="A22" s="85"/>
      <c r="B22" s="107" t="s">
        <v>133</v>
      </c>
      <c r="C22" s="511" t="e">
        <f>#REF!</f>
        <v>#REF!</v>
      </c>
      <c r="D22" s="315"/>
      <c r="E22" s="2"/>
      <c r="F22" s="12"/>
      <c r="G22" s="12"/>
      <c r="H22" s="2"/>
    </row>
    <row r="23" spans="1:9" ht="15.75" customHeight="1">
      <c r="A23" s="85"/>
      <c r="B23" s="107" t="s">
        <v>134</v>
      </c>
      <c r="C23" s="511" t="e">
        <f>#REF!</f>
        <v>#REF!</v>
      </c>
      <c r="D23" s="315"/>
      <c r="E23" s="2"/>
      <c r="F23" s="12"/>
      <c r="G23" s="12"/>
      <c r="H23" s="2"/>
    </row>
    <row r="24" spans="1:9" ht="15.75" customHeight="1">
      <c r="A24" s="85"/>
      <c r="B24" s="107" t="s">
        <v>135</v>
      </c>
      <c r="C24" s="511" t="e">
        <f>#REF!</f>
        <v>#REF!</v>
      </c>
      <c r="D24" s="315"/>
      <c r="E24" s="2"/>
      <c r="F24" s="12"/>
      <c r="G24" s="12"/>
      <c r="H24" s="12">
        <f>SUM(G20:G24)</f>
        <v>0</v>
      </c>
      <c r="I24" s="2" t="s">
        <v>140</v>
      </c>
    </row>
    <row r="25" spans="1:9" ht="15.75" customHeight="1">
      <c r="A25" s="93"/>
      <c r="B25" s="108" t="s">
        <v>136</v>
      </c>
      <c r="C25" s="410" t="e">
        <f>#REF!</f>
        <v>#REF!</v>
      </c>
      <c r="D25" s="315"/>
      <c r="E25" s="2"/>
      <c r="F25" s="12"/>
      <c r="G25" s="12"/>
      <c r="H25" s="2"/>
    </row>
    <row r="26" spans="1:9" ht="15.75" customHeight="1">
      <c r="A26" s="93"/>
      <c r="B26" s="108" t="s">
        <v>137</v>
      </c>
      <c r="C26" s="410">
        <f>'DOMINGO 12'!G45</f>
        <v>0</v>
      </c>
      <c r="D26" s="315"/>
      <c r="E26" s="12"/>
      <c r="F26" s="12"/>
      <c r="G26" s="12"/>
      <c r="H26" s="12">
        <f>SUM(G25+G26)</f>
        <v>0</v>
      </c>
      <c r="I26" s="2" t="s">
        <v>141</v>
      </c>
    </row>
    <row r="27" spans="1:9" ht="15.75" customHeight="1">
      <c r="B27" s="108"/>
      <c r="C27" s="410"/>
      <c r="D27" s="315"/>
      <c r="E27" s="2"/>
      <c r="F27" s="12"/>
      <c r="G27" s="12"/>
      <c r="H27" s="2"/>
    </row>
    <row r="28" spans="1:9" ht="15.75" customHeight="1">
      <c r="B28" s="108" t="s">
        <v>142</v>
      </c>
      <c r="C28" s="410" t="e">
        <f>SUM(C20:C27)</f>
        <v>#REF!</v>
      </c>
      <c r="D28" s="315"/>
      <c r="E28" s="12"/>
      <c r="F28" s="12"/>
      <c r="G28" s="12"/>
      <c r="H28" s="12"/>
    </row>
    <row r="29" spans="1:9" ht="15.75" customHeight="1">
      <c r="E29" s="2"/>
      <c r="F29" s="2"/>
      <c r="G29" s="2"/>
      <c r="H29" s="2"/>
    </row>
    <row r="30" spans="1:9" ht="15.75" customHeight="1">
      <c r="C30" s="110" t="e">
        <f>D13+C28-I13</f>
        <v>#REF!</v>
      </c>
      <c r="E30" s="2"/>
      <c r="F30" s="2"/>
      <c r="G30" s="2"/>
    </row>
    <row r="31" spans="1:9" ht="15.75" customHeight="1"/>
    <row r="32" spans="1:9" ht="15.75" customHeight="1"/>
    <row r="33" spans="1:10" ht="15.75" customHeight="1">
      <c r="B33" s="508" t="s">
        <v>143</v>
      </c>
      <c r="C33" s="314"/>
      <c r="D33" s="315"/>
    </row>
    <row r="34" spans="1:10" ht="24" customHeight="1">
      <c r="B34" s="112" t="s">
        <v>128</v>
      </c>
      <c r="C34" s="112" t="s">
        <v>64</v>
      </c>
      <c r="D34" s="112" t="s">
        <v>144</v>
      </c>
      <c r="E34" s="113"/>
      <c r="F34" s="113"/>
      <c r="G34" s="114"/>
      <c r="H34" s="114"/>
      <c r="I34" s="2"/>
      <c r="J34" s="2"/>
    </row>
    <row r="35" spans="1:10" ht="24" customHeight="1">
      <c r="B35" s="115" t="s">
        <v>131</v>
      </c>
      <c r="C35" s="116" t="e">
        <f>LUNES!I103</f>
        <v>#REF!</v>
      </c>
      <c r="D35" s="117" t="str">
        <f>LUNES!F2</f>
        <v>SARA</v>
      </c>
      <c r="E35" s="2"/>
      <c r="F35" s="2"/>
      <c r="G35" s="2"/>
      <c r="H35" s="2"/>
      <c r="I35" s="2"/>
      <c r="J35" s="2"/>
    </row>
    <row r="36" spans="1:10" ht="24" customHeight="1">
      <c r="A36" s="118"/>
      <c r="B36" s="115" t="s">
        <v>132</v>
      </c>
      <c r="C36" s="116">
        <f>LUNES!R41</f>
        <v>0</v>
      </c>
      <c r="D36" s="117">
        <f>MARTES!Q2</f>
        <v>0</v>
      </c>
      <c r="E36" s="2"/>
      <c r="F36" s="2"/>
      <c r="G36" s="2"/>
      <c r="H36" s="2"/>
      <c r="I36" s="2"/>
      <c r="J36" s="2"/>
    </row>
    <row r="37" spans="1:10" ht="24" customHeight="1">
      <c r="B37" s="115" t="s">
        <v>133</v>
      </c>
      <c r="C37" s="116" t="e">
        <f>#REF!</f>
        <v>#REF!</v>
      </c>
      <c r="D37" s="117" t="e">
        <f>#REF!</f>
        <v>#REF!</v>
      </c>
      <c r="E37" s="2"/>
      <c r="F37" s="2"/>
      <c r="G37" s="2"/>
      <c r="H37" s="2"/>
      <c r="I37" s="2"/>
      <c r="J37" s="2"/>
    </row>
    <row r="38" spans="1:10" ht="24" customHeight="1">
      <c r="B38" s="115" t="s">
        <v>134</v>
      </c>
      <c r="C38" s="116" t="e">
        <f>#REF!</f>
        <v>#REF!</v>
      </c>
      <c r="D38" s="117" t="e">
        <f>#REF!</f>
        <v>#REF!</v>
      </c>
      <c r="E38" s="2"/>
      <c r="F38" s="2"/>
      <c r="G38" s="2"/>
      <c r="H38" s="2"/>
      <c r="I38" s="2"/>
      <c r="J38" s="2"/>
    </row>
    <row r="39" spans="1:10" ht="24" customHeight="1">
      <c r="B39" s="115" t="s">
        <v>135</v>
      </c>
      <c r="C39" s="116" t="e">
        <f>#REF!</f>
        <v>#REF!</v>
      </c>
      <c r="D39" s="117" t="e">
        <f>#REF!</f>
        <v>#REF!</v>
      </c>
      <c r="E39" s="2"/>
      <c r="F39" s="119"/>
      <c r="G39" s="2"/>
      <c r="H39" s="2"/>
      <c r="I39" s="2"/>
      <c r="J39" s="2"/>
    </row>
    <row r="40" spans="1:10" ht="24" customHeight="1">
      <c r="B40" s="115" t="s">
        <v>136</v>
      </c>
      <c r="C40" s="116" t="e">
        <f>#REF!</f>
        <v>#REF!</v>
      </c>
      <c r="D40" s="117" t="e">
        <f>#REF!</f>
        <v>#REF!</v>
      </c>
      <c r="E40" s="2"/>
      <c r="F40" s="2"/>
      <c r="G40" s="2"/>
      <c r="H40" s="2"/>
      <c r="I40" s="2"/>
      <c r="J40" s="2"/>
    </row>
    <row r="41" spans="1:10" ht="24" customHeight="1">
      <c r="B41" s="115" t="s">
        <v>137</v>
      </c>
      <c r="C41" s="116">
        <f>'DOMINGO 12'!G48</f>
        <v>0</v>
      </c>
      <c r="D41" s="117">
        <f>'DOMINGO 12'!Q2</f>
        <v>0</v>
      </c>
      <c r="E41" s="2"/>
      <c r="F41" s="2"/>
      <c r="G41" s="2"/>
      <c r="H41" s="12"/>
      <c r="I41" s="12"/>
      <c r="J41" s="2"/>
    </row>
    <row r="42" spans="1:10" ht="24" customHeight="1">
      <c r="B42" s="120" t="s">
        <v>138</v>
      </c>
      <c r="C42" s="509" t="e">
        <f>SUM(C35:C41)</f>
        <v>#REF!</v>
      </c>
      <c r="D42" s="510"/>
      <c r="E42" s="103"/>
      <c r="F42" s="103"/>
      <c r="G42" s="103"/>
      <c r="H42" s="103"/>
      <c r="I42" s="103"/>
      <c r="J42" s="2"/>
    </row>
    <row r="43" spans="1:10" ht="15.75" customHeight="1">
      <c r="D43" s="2"/>
      <c r="E43" s="2"/>
      <c r="F43" s="2"/>
      <c r="G43" s="2"/>
      <c r="H43" s="2"/>
      <c r="I43" s="2"/>
      <c r="J43" s="2"/>
    </row>
    <row r="44" spans="1:10" ht="15.75" customHeight="1">
      <c r="D44" s="2"/>
      <c r="E44" s="2"/>
      <c r="F44" s="2"/>
      <c r="G44" s="2"/>
      <c r="H44" s="2"/>
      <c r="I44" s="2"/>
      <c r="J44" s="2"/>
    </row>
    <row r="45" spans="1:10" ht="15.75" customHeight="1">
      <c r="D45" s="2"/>
      <c r="E45" s="2"/>
      <c r="F45" s="2"/>
      <c r="G45" s="2"/>
      <c r="H45" s="2"/>
      <c r="I45" s="2"/>
      <c r="J45" s="2"/>
    </row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9:D19"/>
    <mergeCell ref="C20:D20"/>
    <mergeCell ref="C21:D21"/>
    <mergeCell ref="C22:D22"/>
    <mergeCell ref="C23:D23"/>
    <mergeCell ref="B33:D33"/>
    <mergeCell ref="C42:D42"/>
    <mergeCell ref="C24:D24"/>
    <mergeCell ref="C25:D25"/>
    <mergeCell ref="C26:D26"/>
    <mergeCell ref="C27:D27"/>
    <mergeCell ref="C28:D2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19"/>
  <sheetViews>
    <sheetView zoomScale="84" zoomScaleNormal="84" workbookViewId="0">
      <selection activeCell="I8" sqref="I8"/>
    </sheetView>
  </sheetViews>
  <sheetFormatPr baseColWidth="10" defaultColWidth="14.44140625" defaultRowHeight="15" customHeight="1"/>
  <cols>
    <col min="1" max="1" width="4.44140625" customWidth="1"/>
    <col min="2" max="2" width="42.88671875" customWidth="1"/>
    <col min="3" max="3" width="17.6640625" customWidth="1"/>
    <col min="4" max="4" width="19.5546875" customWidth="1"/>
    <col min="5" max="5" width="5" customWidth="1"/>
    <col min="6" max="6" width="7.88671875" hidden="1" customWidth="1"/>
    <col min="7" max="7" width="12" customWidth="1"/>
    <col min="8" max="8" width="11.6640625" customWidth="1"/>
    <col min="9" max="9" width="14.109375" customWidth="1"/>
    <col min="10" max="10" width="8" customWidth="1"/>
    <col min="11" max="11" width="8.6640625" customWidth="1"/>
    <col min="12" max="12" width="7.88671875" customWidth="1"/>
    <col min="13" max="13" width="8.33203125" customWidth="1"/>
  </cols>
  <sheetData>
    <row r="1" spans="1:26" ht="27" customHeight="1">
      <c r="A1" s="2"/>
      <c r="B1" s="2"/>
      <c r="C1" s="2"/>
      <c r="D1" s="2"/>
      <c r="E1" s="13"/>
      <c r="F1" s="2"/>
      <c r="G1" s="484"/>
      <c r="H1" s="484"/>
      <c r="I1" s="484"/>
      <c r="J1" s="2"/>
      <c r="K1" s="485"/>
      <c r="L1" s="485"/>
      <c r="M1" s="48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/>
      <c r="B2" s="15"/>
      <c r="C2" s="15"/>
      <c r="D2" s="16"/>
      <c r="E2" s="2"/>
      <c r="F2" s="2"/>
      <c r="G2" s="17"/>
      <c r="H2" s="17"/>
      <c r="I2" s="17"/>
      <c r="J2" s="17"/>
      <c r="K2" s="17"/>
      <c r="L2" s="17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2"/>
      <c r="B3" s="423"/>
      <c r="C3" s="424"/>
      <c r="D3" s="18"/>
      <c r="E3" s="2"/>
      <c r="F3" s="2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.25" customHeight="1">
      <c r="A4" s="2"/>
      <c r="B4" s="1"/>
      <c r="C4" s="19"/>
      <c r="D4" s="20"/>
      <c r="E4" s="2"/>
      <c r="F4" s="2"/>
      <c r="G4" s="21"/>
      <c r="H4" s="21"/>
      <c r="I4" s="21"/>
      <c r="J4" s="17"/>
      <c r="K4" s="17"/>
      <c r="L4" s="17"/>
      <c r="M4" s="1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2"/>
      <c r="B5" s="22"/>
      <c r="C5" s="23"/>
      <c r="D5" s="20"/>
      <c r="E5" s="2"/>
      <c r="F5" s="2"/>
      <c r="G5" s="24" t="s">
        <v>145</v>
      </c>
      <c r="H5" s="25" t="s">
        <v>146</v>
      </c>
      <c r="I5" s="25" t="s">
        <v>147</v>
      </c>
      <c r="J5" s="26"/>
      <c r="K5" s="17"/>
      <c r="L5" s="17"/>
      <c r="M5" s="1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hidden="1" customHeight="1">
      <c r="A6" s="27"/>
      <c r="B6" s="3">
        <v>45758</v>
      </c>
      <c r="C6" s="4"/>
      <c r="D6" s="28"/>
      <c r="E6" s="2"/>
      <c r="F6" s="2"/>
      <c r="G6" s="29"/>
      <c r="H6" s="21"/>
      <c r="I6" s="21"/>
      <c r="J6" s="30"/>
      <c r="K6" s="21"/>
      <c r="L6" s="21"/>
      <c r="M6" s="2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31"/>
      <c r="C7" s="32"/>
      <c r="D7" s="33"/>
      <c r="E7" s="2"/>
      <c r="F7" s="2"/>
      <c r="G7" s="34">
        <f>'CIERRE VIERNES'!D5</f>
        <v>890</v>
      </c>
      <c r="H7" s="35">
        <f>'CIERRE SABADO'!D5</f>
        <v>890</v>
      </c>
      <c r="I7" s="36">
        <f>'CIERRE DOMINGO'!D5</f>
        <v>890</v>
      </c>
      <c r="J7" s="37">
        <v>650</v>
      </c>
      <c r="K7" s="21"/>
      <c r="L7" s="21"/>
      <c r="M7" s="2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8" t="s">
        <v>68</v>
      </c>
      <c r="C8" s="39">
        <f>+'CIERRE VIERNES'!C8+'CIERRE SABADO'!C8+'CIERRE DOMINGO'!C8</f>
        <v>115</v>
      </c>
      <c r="D8" s="33"/>
      <c r="E8" s="2"/>
      <c r="F8" s="2"/>
      <c r="G8" s="21"/>
      <c r="H8" s="21"/>
      <c r="I8" s="21"/>
      <c r="J8" s="21"/>
      <c r="K8" s="21"/>
      <c r="L8" s="21"/>
      <c r="M8" s="2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40" t="s">
        <v>148</v>
      </c>
      <c r="C9" s="41">
        <f>+'CIERRE VIERNES'!C9</f>
        <v>352885</v>
      </c>
      <c r="D9" s="42">
        <f>+C9/G7</f>
        <v>396.5</v>
      </c>
      <c r="E9" s="2"/>
      <c r="F9" s="2"/>
      <c r="G9" s="21"/>
      <c r="H9" s="21"/>
      <c r="I9" s="21"/>
      <c r="J9" s="21"/>
      <c r="K9" s="21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40" t="s">
        <v>149</v>
      </c>
      <c r="C10" s="41">
        <f>+'CIERRE SABADO'!C9</f>
        <v>505520</v>
      </c>
      <c r="D10" s="42">
        <f>+C10/H7</f>
        <v>568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40" t="s">
        <v>150</v>
      </c>
      <c r="C11" s="41">
        <f>+'CIERRE DOMINGO'!C9</f>
        <v>464580</v>
      </c>
      <c r="D11" s="42">
        <f>+C11/I7</f>
        <v>522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40"/>
      <c r="C12" s="41"/>
      <c r="D12" s="4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40" t="s">
        <v>151</v>
      </c>
      <c r="C13" s="41">
        <f>+'CIERRE VIERNES'!C10</f>
        <v>0</v>
      </c>
      <c r="D13" s="42">
        <f>+C13/G7</f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40" t="s">
        <v>152</v>
      </c>
      <c r="C14" s="41">
        <f>+'CIERRE SABADO'!C10</f>
        <v>0</v>
      </c>
      <c r="D14" s="42">
        <f>+C14/H7</f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40" t="s">
        <v>153</v>
      </c>
      <c r="C15" s="41">
        <f>+'CIERRE DOMINGO'!C10</f>
        <v>0</v>
      </c>
      <c r="D15" s="42">
        <f>+C15/I7</f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40"/>
      <c r="C16" s="41"/>
      <c r="D16" s="42"/>
      <c r="E16" s="2"/>
      <c r="F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40" t="s">
        <v>154</v>
      </c>
      <c r="C17" s="41">
        <f>+'CIERRE VIERNES'!C11</f>
        <v>20737</v>
      </c>
      <c r="D17" s="42">
        <f>+C17/G7</f>
        <v>23.3</v>
      </c>
      <c r="E17" s="2"/>
      <c r="F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40" t="s">
        <v>155</v>
      </c>
      <c r="C18" s="41">
        <f>+'CIERRE SABADO'!C11</f>
        <v>61855</v>
      </c>
      <c r="D18" s="42">
        <f>+C18/H7</f>
        <v>69.5</v>
      </c>
      <c r="E18" s="2"/>
      <c r="F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40" t="s">
        <v>156</v>
      </c>
      <c r="C19" s="41">
        <f>+'CIERRE DOMINGO'!C11</f>
        <v>24297</v>
      </c>
      <c r="D19" s="42">
        <f>+C19/I7</f>
        <v>27.3</v>
      </c>
      <c r="E19" s="2"/>
      <c r="F19" s="2"/>
      <c r="G19" s="486" t="s">
        <v>46</v>
      </c>
      <c r="H19" s="487"/>
      <c r="I19" s="488"/>
      <c r="J19" s="43"/>
      <c r="K19" s="489" t="s">
        <v>47</v>
      </c>
      <c r="L19" s="490"/>
      <c r="M19" s="4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40"/>
      <c r="C20" s="41"/>
      <c r="D20" s="42"/>
      <c r="E20" s="2"/>
      <c r="F20" s="2"/>
      <c r="G20" s="44">
        <v>10</v>
      </c>
      <c r="H20" s="45"/>
      <c r="I20" s="44">
        <f t="shared" ref="I20:I25" si="0">H20*G20</f>
        <v>0</v>
      </c>
      <c r="J20" s="17"/>
      <c r="K20" s="46">
        <v>1</v>
      </c>
      <c r="L20" s="45"/>
      <c r="M20" s="46">
        <f t="shared" ref="M20:M25" si="1">L20*K20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47" t="s">
        <v>157</v>
      </c>
      <c r="C21" s="41">
        <f>+'CIERRE VIERNES'!C12</f>
        <v>0</v>
      </c>
      <c r="D21" s="42">
        <f>+C21/G7</f>
        <v>0</v>
      </c>
      <c r="E21" s="2"/>
      <c r="F21" s="2"/>
      <c r="G21" s="44">
        <v>20</v>
      </c>
      <c r="H21" s="48"/>
      <c r="I21" s="44">
        <f t="shared" si="0"/>
        <v>0</v>
      </c>
      <c r="J21" s="17"/>
      <c r="K21" s="46">
        <v>5</v>
      </c>
      <c r="L21" s="45"/>
      <c r="M21" s="46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7" t="s">
        <v>158</v>
      </c>
      <c r="C22" s="41">
        <f>+'CIERRE SABADO'!C12</f>
        <v>0</v>
      </c>
      <c r="D22" s="42">
        <f>+C22/H7</f>
        <v>0</v>
      </c>
      <c r="E22" s="2"/>
      <c r="F22" s="2"/>
      <c r="G22" s="44">
        <v>50</v>
      </c>
      <c r="H22" s="48"/>
      <c r="I22" s="44">
        <f t="shared" si="0"/>
        <v>0</v>
      </c>
      <c r="J22" s="17"/>
      <c r="K22" s="46">
        <v>10</v>
      </c>
      <c r="L22" s="45"/>
      <c r="M22" s="46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47" t="s">
        <v>159</v>
      </c>
      <c r="C23" s="41">
        <f>+'CIERRE DOMINGO'!C12</f>
        <v>0</v>
      </c>
      <c r="D23" s="42">
        <f>+C23/I7</f>
        <v>0</v>
      </c>
      <c r="E23" s="2"/>
      <c r="F23" s="2"/>
      <c r="G23" s="44">
        <v>100</v>
      </c>
      <c r="H23" s="48"/>
      <c r="I23" s="44">
        <f t="shared" si="0"/>
        <v>0</v>
      </c>
      <c r="J23" s="17"/>
      <c r="K23" s="46">
        <v>20</v>
      </c>
      <c r="L23" s="45"/>
      <c r="M23" s="46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47"/>
      <c r="C24" s="41"/>
      <c r="D24" s="42"/>
      <c r="E24" s="2"/>
      <c r="F24" s="2"/>
      <c r="G24" s="44">
        <v>200</v>
      </c>
      <c r="H24" s="49"/>
      <c r="I24" s="44">
        <f t="shared" si="0"/>
        <v>0</v>
      </c>
      <c r="J24" s="21"/>
      <c r="K24" s="46">
        <v>50</v>
      </c>
      <c r="L24" s="48"/>
      <c r="M24" s="46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41"/>
      <c r="C25" s="41"/>
      <c r="D25" s="42"/>
      <c r="E25" s="2"/>
      <c r="F25" s="2"/>
      <c r="G25" s="44">
        <v>500</v>
      </c>
      <c r="H25" s="50"/>
      <c r="I25" s="44">
        <f t="shared" si="0"/>
        <v>0</v>
      </c>
      <c r="J25" s="21"/>
      <c r="K25" s="46">
        <v>100</v>
      </c>
      <c r="L25" s="48"/>
      <c r="M25" s="46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41" t="s">
        <v>72</v>
      </c>
      <c r="C26" s="41">
        <f>SUM(C9:C25)</f>
        <v>1429874</v>
      </c>
      <c r="D26" s="42">
        <f>+D9+D10+D11+D12+D13+D14+D15+D16+D17+D18+D19+D20+D21+D22+D23+D24</f>
        <v>1606.6</v>
      </c>
      <c r="E26" s="2"/>
      <c r="F26" s="2"/>
      <c r="G26" s="21"/>
      <c r="H26" s="21"/>
      <c r="I26" s="44">
        <f>SUM(I20:I25)</f>
        <v>0</v>
      </c>
      <c r="J26" s="21"/>
      <c r="K26" s="21"/>
      <c r="L26" s="21"/>
      <c r="M26" s="46">
        <f>SUM(M19:M25)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>
      <c r="A27" s="2"/>
      <c r="B27" s="11"/>
      <c r="C27" s="11"/>
      <c r="D27" s="51"/>
      <c r="E27" s="2"/>
      <c r="F27" s="2"/>
      <c r="G27" s="2"/>
      <c r="H27" s="2"/>
      <c r="I27" s="2"/>
      <c r="J27" s="21"/>
      <c r="K27" s="21"/>
      <c r="L27" s="21"/>
      <c r="M27" s="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.75" customHeight="1">
      <c r="A28" s="2"/>
      <c r="B28" s="52" t="s">
        <v>74</v>
      </c>
      <c r="C28" s="53" t="s">
        <v>75</v>
      </c>
      <c r="D28" s="54" t="s">
        <v>76</v>
      </c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5" t="s">
        <v>77</v>
      </c>
      <c r="C29" s="56">
        <f>+'CIERRE VIERNES'!C19+'CIERRE SABADO'!C19+'CIERRE DOMINGO'!C19</f>
        <v>641</v>
      </c>
      <c r="D29" s="57">
        <f>+C29</f>
        <v>641</v>
      </c>
      <c r="E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5" t="s">
        <v>160</v>
      </c>
      <c r="C30" s="56">
        <f>+'CIERRE VIERNES'!C20</f>
        <v>11680</v>
      </c>
      <c r="D30" s="57">
        <f>+C30/G7</f>
        <v>13.123595505617978</v>
      </c>
      <c r="E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5" t="s">
        <v>161</v>
      </c>
      <c r="C31" s="56">
        <f>+'CIERRE SABADO'!C20</f>
        <v>29370</v>
      </c>
      <c r="D31" s="57">
        <f>+C31/H7</f>
        <v>33</v>
      </c>
      <c r="E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55" t="s">
        <v>162</v>
      </c>
      <c r="C32" s="56">
        <f>+'CIERRE DOMINGO'!C20</f>
        <v>1780</v>
      </c>
      <c r="D32" s="57">
        <f>+C32/I7</f>
        <v>2</v>
      </c>
      <c r="E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55"/>
      <c r="C33" s="56"/>
      <c r="D33" s="57"/>
      <c r="E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55" t="s">
        <v>117</v>
      </c>
      <c r="C34" s="56"/>
      <c r="D34" s="57"/>
      <c r="E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55" t="s">
        <v>163</v>
      </c>
      <c r="C35" s="56">
        <f>+'CIERRE VIERNES'!C21</f>
        <v>222322</v>
      </c>
      <c r="D35" s="57">
        <f>+C35/G7</f>
        <v>249.8</v>
      </c>
      <c r="E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55" t="s">
        <v>164</v>
      </c>
      <c r="C36" s="56">
        <f>+'CIERRE SABADO'!C21</f>
        <v>322625</v>
      </c>
      <c r="D36" s="57">
        <f>+C36/H7</f>
        <v>362.5</v>
      </c>
      <c r="E36" s="2"/>
      <c r="M36" s="2" t="s">
        <v>120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55" t="s">
        <v>165</v>
      </c>
      <c r="C37" s="56">
        <f>+'CIERRE DOMINGO'!C21</f>
        <v>258367</v>
      </c>
      <c r="D37" s="57">
        <f>+C37/I7</f>
        <v>290.3</v>
      </c>
      <c r="E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55"/>
      <c r="C38" s="56"/>
      <c r="D38" s="57"/>
      <c r="E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55" t="s">
        <v>80</v>
      </c>
      <c r="C39" s="56"/>
      <c r="D39" s="57"/>
      <c r="E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58" t="s">
        <v>123</v>
      </c>
      <c r="C40" s="59"/>
      <c r="D40" s="60"/>
      <c r="E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58" t="s">
        <v>124</v>
      </c>
      <c r="C41" s="61"/>
      <c r="D41" s="60"/>
      <c r="E41" s="2"/>
      <c r="G41" s="2"/>
      <c r="H41" s="2"/>
      <c r="I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62" t="s">
        <v>81</v>
      </c>
      <c r="C42" s="62">
        <f>+C29+D40</f>
        <v>641</v>
      </c>
      <c r="D42" s="63">
        <f>SUM(D29:D41)</f>
        <v>1591.7235955056181</v>
      </c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51" t="s">
        <v>49</v>
      </c>
      <c r="C43" s="64">
        <f>C30+C31+C33-C41</f>
        <v>41050</v>
      </c>
      <c r="D43" s="65">
        <f>+D42-D26</f>
        <v>-14.876404494381859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51" t="s">
        <v>183</v>
      </c>
      <c r="C44" s="51">
        <f>+C35+C36+C37</f>
        <v>803314</v>
      </c>
      <c r="D44" s="64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67" t="s">
        <v>82</v>
      </c>
      <c r="C45" s="68" t="s">
        <v>83</v>
      </c>
      <c r="D45" s="68" t="s">
        <v>84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69"/>
      <c r="C46" s="69"/>
      <c r="D46" s="6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70"/>
      <c r="C47" s="69"/>
      <c r="D47" s="6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71"/>
      <c r="D48" s="6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/>
      <c r="C49" s="69"/>
      <c r="D49" s="7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6"/>
      <c r="C50" s="73">
        <f t="shared" ref="C50:D50" si="2">SUM(C46:C49)</f>
        <v>0</v>
      </c>
      <c r="D50" s="73">
        <f t="shared" si="2"/>
        <v>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6"/>
      <c r="C51" s="15"/>
      <c r="D51" s="1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4" t="s">
        <v>85</v>
      </c>
      <c r="C52" s="75">
        <f>+C43</f>
        <v>41050</v>
      </c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76" t="s">
        <v>86</v>
      </c>
      <c r="C53" s="77">
        <f>+C42</f>
        <v>641</v>
      </c>
      <c r="D53" s="5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6" t="s">
        <v>87</v>
      </c>
      <c r="C54" s="77">
        <f>+C50</f>
        <v>0</v>
      </c>
      <c r="D54" s="5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74" t="s">
        <v>88</v>
      </c>
      <c r="C55" s="77">
        <f>+D50</f>
        <v>0</v>
      </c>
      <c r="D55" s="5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78" t="s">
        <v>89</v>
      </c>
      <c r="C56" s="79">
        <f>+C53-C55</f>
        <v>641</v>
      </c>
      <c r="D56" s="5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80" t="s">
        <v>90</v>
      </c>
      <c r="C57" s="32">
        <f>+C52-C54</f>
        <v>41050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430" t="s">
        <v>92</v>
      </c>
      <c r="C60" s="431"/>
      <c r="D60" s="43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433"/>
      <c r="C61" s="434"/>
      <c r="D61" s="43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433"/>
      <c r="C62" s="434"/>
      <c r="D62" s="43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436"/>
      <c r="C63" s="437"/>
      <c r="D63" s="4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6">
    <mergeCell ref="B60:D63"/>
    <mergeCell ref="G1:I1"/>
    <mergeCell ref="K1:M1"/>
    <mergeCell ref="B3:C3"/>
    <mergeCell ref="G19:I19"/>
    <mergeCell ref="K19:M19"/>
  </mergeCells>
  <pageMargins left="0.7" right="0.7" top="0.75" bottom="0.75" header="0" footer="0"/>
  <pageSetup scale="52" orientation="portrait"/>
  <colBreaks count="1" manualBreakCount="1">
    <brk id="14" max="62" man="1"/>
  </colBreaks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5"/>
  <sheetViews>
    <sheetView workbookViewId="0">
      <selection activeCell="D6" sqref="D6"/>
    </sheetView>
  </sheetViews>
  <sheetFormatPr baseColWidth="10" defaultColWidth="11" defaultRowHeight="14.4"/>
  <cols>
    <col min="1" max="1" width="27.109375" customWidth="1"/>
    <col min="2" max="2" width="19.5546875" customWidth="1"/>
  </cols>
  <sheetData>
    <row r="1" spans="1:3">
      <c r="A1" s="423"/>
      <c r="B1" s="424"/>
      <c r="C1" s="2"/>
    </row>
    <row r="2" spans="1:3">
      <c r="A2" s="3"/>
      <c r="B2" s="4"/>
      <c r="C2" s="2"/>
    </row>
    <row r="3" spans="1:3">
      <c r="A3" s="513" t="s">
        <v>166</v>
      </c>
      <c r="B3" s="514"/>
      <c r="C3" s="2"/>
    </row>
    <row r="4" spans="1:3">
      <c r="A4" s="5"/>
      <c r="B4" s="6"/>
      <c r="C4" s="2"/>
    </row>
    <row r="5" spans="1:3">
      <c r="A5" s="7" t="s">
        <v>167</v>
      </c>
      <c r="B5" s="8">
        <f>+LUNES!AN3+LUNES!AN4+LUNES!AN5+LUNES!AN7+LUNES!AN6+LUNES!AN8+LUNES!AN9+LUNES!AN10+LUNES!AN11+LUNES!AN12+LUNES!AN13+LUNES!AN14+LUNES!AN15+LUNES!AN16+LUNES!AN17+LUNES!AN18+LUNES!AN19+LUNES!AN20+LUNES!AN21+LUNES!AN26</f>
        <v>3.5</v>
      </c>
      <c r="C5" s="2"/>
    </row>
    <row r="6" spans="1:3">
      <c r="A6" s="7" t="s">
        <v>168</v>
      </c>
      <c r="B6" s="8">
        <f>+LUNES!AN22+LUNES!AN23+LUNES!AN24+LUNES!AN25</f>
        <v>2</v>
      </c>
      <c r="C6" s="2"/>
    </row>
    <row r="7" spans="1:3">
      <c r="A7" s="7" t="s">
        <v>169</v>
      </c>
      <c r="B7" s="8">
        <f>+MARTES!AN3+MARTES!AN4+MARTES!AN5+MARTES!AN6+MARTES!AN7+MARTES!AN8+MARTES!AN9+MARTES!AN10+MARTES!AN11+MARTES!AN12+MARTES!AN13+MARTES!AN14+MARTES!AN15+MARTES!AN16+MARTES!AN17+MARTES!AN18+MARTES!AN19+MARTES!AN20+MARTES!AN21+MARTES!AN26</f>
        <v>14.5</v>
      </c>
      <c r="C7" s="2"/>
    </row>
    <row r="8" spans="1:3">
      <c r="A8" s="7" t="s">
        <v>170</v>
      </c>
      <c r="B8" s="8">
        <f>+MARTES!AN22+MARTES!AN23+MARTES!AN24+MARTES!AN25</f>
        <v>3</v>
      </c>
      <c r="C8" s="2"/>
    </row>
    <row r="9" spans="1:3">
      <c r="A9" s="7" t="s">
        <v>171</v>
      </c>
      <c r="B9" s="8">
        <f>+MIERCOLES!AN3+MIERCOLES!AN4+MIERCOLES!AN5+MIERCOLES!AN6+MIERCOLES!AN7+MIERCOLES!AN8+MIERCOLES!AN9+MIERCOLES!AN10+MIERCOLES!AN11+MIERCOLES!AN12+MIERCOLES!AN13+MIERCOLES!AN14+MIERCOLES!AN15+MIERCOLES!AN16+MIERCOLES!AN17+MIERCOLES!AN18+MIERCOLES!AN19+MIERCOLES!AN20+MIERCOLES!AN21+MIERCOLES!AN26</f>
        <v>14</v>
      </c>
      <c r="C9" s="2"/>
    </row>
    <row r="10" spans="1:3">
      <c r="A10" s="7" t="s">
        <v>172</v>
      </c>
      <c r="B10" s="8">
        <f>+MIERCOLES!AN22+MIERCOLES!AN23+MIERCOLES!AN24+MIERCOLES!AN25</f>
        <v>0</v>
      </c>
      <c r="C10" s="2"/>
    </row>
    <row r="11" spans="1:3">
      <c r="A11" s="7" t="s">
        <v>173</v>
      </c>
      <c r="B11" s="8">
        <f>+JUEVES!AN3+JUEVES!AN4+JUEVES!AN5+JUEVES!AN6+JUEVES!AN7+JUEVES!AN8+JUEVES!AN9+JUEVES!AN10+JUEVES!AN11+JUEVES!AN12+JUEVES!AN13+JUEVES!AN14+JUEVES!AN15+JUEVES!AN16+JUEVES!AN17+JUEVES!AN18+JUEVES!AN19+JUEVES!AN20+JUEVES!AN21+JUEVES!AN26</f>
        <v>7</v>
      </c>
      <c r="C11" s="2"/>
    </row>
    <row r="12" spans="1:3">
      <c r="A12" s="7" t="s">
        <v>174</v>
      </c>
      <c r="B12" s="8">
        <f>+JUEVES!AN22+JUEVES!AN23+JUEVES!AN24+JUEVES!AN25</f>
        <v>0</v>
      </c>
      <c r="C12" s="2"/>
    </row>
    <row r="13" spans="1:3">
      <c r="A13" s="7" t="s">
        <v>175</v>
      </c>
      <c r="B13" s="8">
        <f>+VIERNES!AN3+VIERNES!AN4+VIERNES!AN5+VIERNES!AN6+VIERNES!AN7+VIERNES!AN8+VIERNES!AN9+VIERNES!AN10+VIERNES!AN11+VIERNES!AN12+VIERNES!AN13+VIERNES!AN14+VIERNES!AN15+VIERNES!AN16+VIERNES!AN17+VIERNES!AN18+VIERNES!AN19+VIERNES!AN20+VIERNES!AN21+VIERNES!AN26</f>
        <v>19</v>
      </c>
      <c r="C13" s="2"/>
    </row>
    <row r="14" spans="1:3">
      <c r="A14" s="7" t="s">
        <v>176</v>
      </c>
      <c r="B14" s="8">
        <f>+VIERNES!AN22+VIERNES!AN23+VIERNES!AN24+VIERNES!AN25</f>
        <v>0</v>
      </c>
      <c r="C14" s="2"/>
    </row>
    <row r="15" spans="1:3">
      <c r="A15" s="7" t="s">
        <v>177</v>
      </c>
      <c r="B15" s="8">
        <f>+SABADO!AN3+SABADO!AN4+SABADO!AN5+SABADO!AN6+SABADO!AN7+SABADO!AN8+SABADO!AN9+SABADO!AN10+SABADO!AN11+SABADO!AN12+SABADO!AN13+SABADO!AN14+SABADO!AN15+SABADO!AN16+SABADO!AN17+SABADO!AN18+SABADO!AN19+SABADO!AN20+SABADO!AN21+SABADO!AN26</f>
        <v>62</v>
      </c>
      <c r="C15" s="2"/>
    </row>
    <row r="16" spans="1:3">
      <c r="A16" s="7" t="s">
        <v>178</v>
      </c>
      <c r="B16" s="8">
        <f>+SABADO!AN22+SABADO!AN23+SABADO!AN24+SABADO!AN25</f>
        <v>2</v>
      </c>
      <c r="C16" s="2"/>
    </row>
    <row r="17" spans="1:3">
      <c r="A17" s="7" t="s">
        <v>179</v>
      </c>
      <c r="B17" s="8">
        <f>+'DOMINGO 12'!AN3+'DOMINGO 12'!AN4+'DOMINGO 12'!AN5+'DOMINGO 12'!AN6+'DOMINGO 12'!AN7+'DOMINGO 12'!AN8+'DOMINGO 12'!AN9+'DOMINGO 12'!AN10+'DOMINGO 12'!AN11+'DOMINGO 12'!AN12+'DOMINGO 12'!AN13+'DOMINGO 12'!AN14+'DOMINGO 12'!AN15+'DOMINGO 12'!AN16+'DOMINGO 12'!AN17+'DOMINGO 12'!AN18+'DOMINGO 12'!AN19+'DOMINGO 12'!AN20+'DOMINGO 12'!AN21+'DOMINGO 12'!AN26</f>
        <v>22</v>
      </c>
      <c r="C17" s="2"/>
    </row>
    <row r="18" spans="1:3">
      <c r="A18" s="7" t="s">
        <v>180</v>
      </c>
      <c r="B18" s="8">
        <f>+'DOMINGO 12'!AN22+'DOMINGO 12'!AN23+'DOMINGO 12'!AN24+'DOMINGO 12'!AN25</f>
        <v>2</v>
      </c>
      <c r="C18" s="2"/>
    </row>
    <row r="19" spans="1:3">
      <c r="A19" s="9" t="s">
        <v>142</v>
      </c>
      <c r="B19" s="10">
        <f>SUM(B5:B18)</f>
        <v>151</v>
      </c>
      <c r="C19" s="2"/>
    </row>
    <row r="20" spans="1:3">
      <c r="A20" s="11"/>
      <c r="B20" s="11"/>
      <c r="C20" s="2"/>
    </row>
    <row r="21" spans="1:3">
      <c r="A21" s="2"/>
      <c r="B21" s="2"/>
      <c r="C21" s="2"/>
    </row>
    <row r="22" spans="1:3">
      <c r="A22" s="12"/>
      <c r="B22" s="12"/>
      <c r="C22" s="2"/>
    </row>
    <row r="23" spans="1:3">
      <c r="A23" s="12"/>
      <c r="B23" s="12"/>
      <c r="C23" s="2"/>
    </row>
    <row r="24" spans="1:3">
      <c r="A24" s="2"/>
      <c r="B24" s="2"/>
      <c r="C24" s="2"/>
    </row>
    <row r="25" spans="1:3">
      <c r="A25" s="2"/>
      <c r="B25" s="2"/>
      <c r="C25" s="2"/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LUNES</vt:lpstr>
      <vt:lpstr>CIERRE LUNES</vt:lpstr>
      <vt:lpstr>MARTES</vt:lpstr>
      <vt:lpstr>CIERRE MARTES</vt:lpstr>
      <vt:lpstr>MIERCOLES</vt:lpstr>
      <vt:lpstr>CIERRE MIERCOLES</vt:lpstr>
      <vt:lpstr>JUEVES</vt:lpstr>
      <vt:lpstr>CIERRE JUEVES</vt:lpstr>
      <vt:lpstr>CIERRE DE LUN A JUE</vt:lpstr>
      <vt:lpstr>VIERNES</vt:lpstr>
      <vt:lpstr>CIERRE VIERNES</vt:lpstr>
      <vt:lpstr>SABADO</vt:lpstr>
      <vt:lpstr>CIERRE SABADO</vt:lpstr>
      <vt:lpstr>DOMINGO 12</vt:lpstr>
      <vt:lpstr>CIERRE DOMINGO</vt:lpstr>
      <vt:lpstr>VENTA NETA</vt:lpstr>
      <vt:lpstr>CIERRE VIE A DOM</vt:lpstr>
      <vt:lpstr>INFO VENTAS MINI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Santa Rosa</dc:creator>
  <cp:lastModifiedBy>Frank Mejia Z</cp:lastModifiedBy>
  <cp:lastPrinted>2026-04-13T14:23:00Z</cp:lastPrinted>
  <dcterms:created xsi:type="dcterms:W3CDTF">2024-05-28T19:51:00Z</dcterms:created>
  <dcterms:modified xsi:type="dcterms:W3CDTF">2026-08-13T00:07:11Z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DC870E0B536043068B0FD3932D171992_13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